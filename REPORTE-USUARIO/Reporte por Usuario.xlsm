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2.xml.rels" ContentType="application/vnd.openxmlformats-package.relationships+xml"/>
  <Override PartName="/xl/worksheets/_rels/sheet5.xml.rels" ContentType="application/vnd.openxmlformats-package.relationship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porteUsuario" sheetId="1" state="visible" r:id="rId3"/>
    <sheet name="PromedioReporteUsuario" sheetId="2" state="visible" r:id="rId4"/>
    <sheet name="pivote" sheetId="3" state="visible" r:id="rId5"/>
    <sheet name="desviacionEstandar" sheetId="4" state="visible" r:id="rId6"/>
    <sheet name="DistribucionNormal" sheetId="5" state="visible" r:id="rId7"/>
    <sheet name="grafica1" sheetId="6" state="visible" r:id="rId8"/>
  </sheets>
  <definedNames>
    <definedName function="false" hidden="true" localSheetId="4" name="_xlnm._FilterDatabase" vbProcedure="false">DistribucionNormal!$A$1:$I$6</definedName>
  </definedNames>
  <calcPr iterateCount="100" refMode="A1" iterate="false" iterateDelta="0.001"/>
  <pivotCaches>
    <pivotCache cacheId="1" r:id="rId10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<sst xmlns="http://schemas.openxmlformats.org/spreadsheetml/2006/main" count="343" uniqueCount="38">
  <si>
    <t xml:space="preserve">Nombre Completo</t>
  </si>
  <si>
    <t xml:space="preserve">Institucion</t>
  </si>
  <si>
    <t xml:space="preserve">Maestria</t>
  </si>
  <si>
    <t xml:space="preserve">Campus</t>
  </si>
  <si>
    <t xml:space="preserve">Pais</t>
  </si>
  <si>
    <t xml:space="preserve">Examen</t>
  </si>
  <si>
    <t xml:space="preserve">Modulo</t>
  </si>
  <si>
    <t xml:space="preserve">TotalRespuestaCorrectas</t>
  </si>
  <si>
    <t xml:space="preserve">Calificacion</t>
  </si>
  <si>
    <t xml:space="preserve">John2 Doe2</t>
  </si>
  <si>
    <t xml:space="preserve">UVM</t>
  </si>
  <si>
    <t xml:space="preserve">Hoteleria</t>
  </si>
  <si>
    <t xml:space="preserve">Queretaro</t>
  </si>
  <si>
    <t xml:space="preserve">MX</t>
  </si>
  <si>
    <t xml:space="preserve">Examen24MFP-test</t>
  </si>
  <si>
    <t xml:space="preserve">I.Matemáticas Financieras</t>
  </si>
  <si>
    <t xml:space="preserve">II Fundamentos de Estadística</t>
  </si>
  <si>
    <t xml:space="preserve">III Análisis e Interpretación de Estados Financieros</t>
  </si>
  <si>
    <t xml:space="preserve">IV Economía</t>
  </si>
  <si>
    <t xml:space="preserve">V Administración de Capital de Trabajo</t>
  </si>
  <si>
    <t xml:space="preserve">VI Planeación Financiera</t>
  </si>
  <si>
    <t xml:space="preserve">VII Presupuesto y Costo de Capital</t>
  </si>
  <si>
    <t xml:space="preserve">John3 Doe3</t>
  </si>
  <si>
    <t xml:space="preserve">Finanzas</t>
  </si>
  <si>
    <t xml:space="preserve">Puebla</t>
  </si>
  <si>
    <t xml:space="preserve">John9 Doe9</t>
  </si>
  <si>
    <t xml:space="preserve">CD MX</t>
  </si>
  <si>
    <t xml:space="preserve">John9 Doe7</t>
  </si>
  <si>
    <t xml:space="preserve">John9 Doe6</t>
  </si>
  <si>
    <t xml:space="preserve">John2 Doe4</t>
  </si>
  <si>
    <t xml:space="preserve">- todo -</t>
  </si>
  <si>
    <t xml:space="preserve">Promedio - Calificacion</t>
  </si>
  <si>
    <t xml:space="preserve">Total Resultado</t>
  </si>
  <si>
    <t xml:space="preserve">pivot1</t>
  </si>
  <si>
    <t xml:space="preserve">pivot2</t>
  </si>
  <si>
    <t xml:space="preserve">Desviacion Estandar</t>
  </si>
  <si>
    <t xml:space="preserve">Distribucion Normal</t>
  </si>
  <si>
    <t xml:space="preserve">Desviacion Estandar Referenciada al Pivote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</si>
</sst>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.00"/>
    <numFmt numFmtId="166" formatCode="0.00%"/>
    <numFmt numFmtId="167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sz val="10"/>
      <color rgb="FFC9211E"/>
      <name val="Arial"/>
      <family val="2"/>
    </font>
  </fonts>
  <fills count="2">
    <fill>
      <patternFill patternType="none"/>
    </fill>
    <fill>
      <patternFill patternType="gray125"/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5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ampo de la tabla dinámica" xfId="20"/>
    <cellStyle name="Esquina de la tabla dinámica" xfId="21"/>
    <cellStyle name="Valor de la tabla dinámica" xfId="22"/>
    <cellStyle name="Categoría de la tabla dinámica" xfId="23"/>
    <cellStyle name="Título de la tabla dinámica" xfId="24"/>
    <cellStyle name="Resultado de la tabla dinámica" xfId="25"/>
  </cellStyles>
  <dxfs count="1"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14004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DistribucionNormal!$B$1:$B$1</c:f>
              <c:strCache>
                <c:ptCount val="1"/>
                <c:pt idx="0">
                  <c:v>I.Matemáticas Financieras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DistribucionNormal!$B$2:$B$5</c:f>
              <c:numCache>
                <c:formatCode>0.00%</c:formatCode>
                <c:ptCount val="4"/>
                <c:pt idx="0">
                  <c:v>0.16533918375416</c:v>
                </c:pt>
                <c:pt idx="1">
                  <c:v>0.16533918375416</c:v>
                </c:pt>
                <c:pt idx="2">
                  <c:v>0.404638589192026</c:v>
                </c:pt>
                <c:pt idx="3">
                  <c:v>0.889036653663918</c:v>
                </c:pt>
              </c:numCache>
            </c:numRef>
          </c:val>
        </c:ser>
        <c:ser>
          <c:idx val="1"/>
          <c:order val="1"/>
          <c:tx>
            <c:strRef>
              <c:f>DistribucionNormal!$C$1:$C$1</c:f>
              <c:strCache>
                <c:ptCount val="1"/>
                <c:pt idx="0">
                  <c:v>II Fundamentos de Estadística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DistribucionNormal!$C$2:$C$5</c:f>
              <c:numCache>
                <c:formatCode>0.00%</c:formatCode>
                <c:ptCount val="4"/>
                <c:pt idx="0">
                  <c:v>0.886090574398313</c:v>
                </c:pt>
                <c:pt idx="1">
                  <c:v>0.886090574398313</c:v>
                </c:pt>
                <c:pt idx="2">
                  <c:v>0.290243052573904</c:v>
                </c:pt>
                <c:pt idx="3">
                  <c:v>0.172414248845979</c:v>
                </c:pt>
              </c:numCache>
            </c:numRef>
          </c:val>
        </c:ser>
        <c:ser>
          <c:idx val="2"/>
          <c:order val="2"/>
          <c:tx>
            <c:strRef>
              <c:f>DistribucionNormal!$D$1:$D$1</c:f>
              <c:strCache>
                <c:ptCount val="1"/>
                <c:pt idx="0">
                  <c:v>III Análisis e Interpretación de Estados Financieros</c:v>
                </c:pt>
              </c:strCache>
            </c:strRef>
          </c:tx>
          <c:spPr>
            <a:solidFill>
              <a:srgbClr val="ffd32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DistribucionNormal!$D$2:$D$5</c:f>
              <c:numCache>
                <c:formatCode>0.00%</c:formatCode>
                <c:ptCount val="4"/>
                <c:pt idx="0">
                  <c:v>0.718329708741006</c:v>
                </c:pt>
                <c:pt idx="1">
                  <c:v>0.718329708741006</c:v>
                </c:pt>
                <c:pt idx="2">
                  <c:v>0.078379711536347</c:v>
                </c:pt>
                <c:pt idx="3">
                  <c:v>0.297031598612867</c:v>
                </c:pt>
              </c:numCache>
            </c:numRef>
          </c:val>
        </c:ser>
        <c:ser>
          <c:idx val="3"/>
          <c:order val="3"/>
          <c:tx>
            <c:strRef>
              <c:f>DistribucionNormal!$E$1:$E$1</c:f>
              <c:strCache>
                <c:ptCount val="1"/>
                <c:pt idx="0">
                  <c:v>IV Economía</c:v>
                </c:pt>
              </c:strCache>
            </c:strRef>
          </c:tx>
          <c:spPr>
            <a:solidFill>
              <a:srgbClr val="579d1c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DistribucionNormal!$E$2:$E$5</c:f>
              <c:numCache>
                <c:formatCode>0.00%</c:formatCode>
                <c:ptCount val="4"/>
                <c:pt idx="0">
                  <c:v>0.257906244616335</c:v>
                </c:pt>
                <c:pt idx="1">
                  <c:v>0.257906244616335</c:v>
                </c:pt>
                <c:pt idx="2">
                  <c:v>0.150201624530251</c:v>
                </c:pt>
                <c:pt idx="3">
                  <c:v>0.892073593486949</c:v>
                </c:pt>
              </c:numCache>
            </c:numRef>
          </c:val>
        </c:ser>
        <c:ser>
          <c:idx val="4"/>
          <c:order val="4"/>
          <c:tx>
            <c:strRef>
              <c:f>DistribucionNormal!$F$1:$F$1</c:f>
              <c:strCache>
                <c:ptCount val="1"/>
                <c:pt idx="0">
                  <c:v>V Administración de Capital de Trabajo</c:v>
                </c:pt>
              </c:strCache>
            </c:strRef>
          </c:tx>
          <c:spPr>
            <a:solidFill>
              <a:srgbClr val="7e0021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DistribucionNormal!$F$2:$F$5</c:f>
              <c:numCache>
                <c:formatCode>0.00%</c:formatCode>
                <c:ptCount val="4"/>
                <c:pt idx="0">
                  <c:v>0.75678756992086</c:v>
                </c:pt>
                <c:pt idx="1">
                  <c:v>0.75678756992086</c:v>
                </c:pt>
                <c:pt idx="2">
                  <c:v>0.0611979822053341</c:v>
                </c:pt>
                <c:pt idx="3">
                  <c:v>0.318676159336876</c:v>
                </c:pt>
              </c:numCache>
            </c:numRef>
          </c:val>
        </c:ser>
        <c:ser>
          <c:idx val="5"/>
          <c:order val="5"/>
          <c:tx>
            <c:strRef>
              <c:f>DistribucionNormal!$G$1:$G$1</c:f>
              <c:strCache>
                <c:ptCount val="1"/>
                <c:pt idx="0">
                  <c:v>VI Planeación Financiera</c:v>
                </c:pt>
              </c:strCache>
            </c:strRef>
          </c:tx>
          <c:spPr>
            <a:solidFill>
              <a:srgbClr val="83caff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DistribucionNormal!$G$2:$G$5</c:f>
              <c:numCache>
                <c:formatCode>0.00%</c:formatCode>
                <c:ptCount val="4"/>
                <c:pt idx="0">
                  <c:v>0.877418898802456</c:v>
                </c:pt>
                <c:pt idx="1">
                  <c:v>0.877418898802456</c:v>
                </c:pt>
                <c:pt idx="2">
                  <c:v>0.147750939362769</c:v>
                </c:pt>
                <c:pt idx="3">
                  <c:v>0.224328653407137</c:v>
                </c:pt>
              </c:numCache>
            </c:numRef>
          </c:val>
        </c:ser>
        <c:ser>
          <c:idx val="6"/>
          <c:order val="6"/>
          <c:tx>
            <c:strRef>
              <c:f>DistribucionNormal!$H$1:$H$1</c:f>
              <c:strCache>
                <c:ptCount val="1"/>
                <c:pt idx="0">
                  <c:v>VII Presupuesto y Costo de Capital</c:v>
                </c:pt>
              </c:strCache>
            </c:strRef>
          </c:tx>
          <c:spPr>
            <a:solidFill>
              <a:srgbClr val="314004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DistribucionNormal!$H$2:$H$5</c:f>
              <c:numCache>
                <c:formatCode>0.00%</c:formatCode>
                <c:ptCount val="4"/>
                <c:pt idx="0">
                  <c:v>0.131801095102975</c:v>
                </c:pt>
                <c:pt idx="1">
                  <c:v>0.131801095102975</c:v>
                </c:pt>
                <c:pt idx="2">
                  <c:v>0.723469907656082</c:v>
                </c:pt>
                <c:pt idx="3">
                  <c:v>0.84227318293702</c:v>
                </c:pt>
              </c:numCache>
            </c:numRef>
          </c:val>
        </c:ser>
        <c:ser>
          <c:idx val="7"/>
          <c:order val="7"/>
          <c:tx>
            <c:strRef>
              <c:f>DistribucionNormal!$I$1:$I$1</c:f>
              <c:strCache>
                <c:ptCount val="1"/>
                <c:pt idx="0">
                  <c:v>Total Resultado</c:v>
                </c:pt>
              </c:strCache>
            </c:strRef>
          </c:tx>
          <c:spPr>
            <a:solidFill>
              <a:srgbClr val="aecf00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DistribucionNormal!$A$2:$A$5</c:f>
              <c:strCache>
                <c:ptCount val="4"/>
                <c:pt idx="0">
                  <c:v>John2 Doe2</c:v>
                </c:pt>
                <c:pt idx="1">
                  <c:v>John2 Doe4</c:v>
                </c:pt>
                <c:pt idx="2">
                  <c:v>John3 Doe3</c:v>
                </c:pt>
                <c:pt idx="3">
                  <c:v>John9 Doe6</c:v>
                </c:pt>
              </c:strCache>
            </c:strRef>
          </c:cat>
          <c:val>
            <c:numRef>
              <c:f>DistribucionNormal!$I$2:$I$5</c:f>
              <c:numCache>
                <c:formatCode>0.00%</c:formatCode>
                <c:ptCount val="4"/>
                <c:pt idx="0">
                  <c:v>0.560100954254146</c:v>
                </c:pt>
                <c:pt idx="1">
                  <c:v>0.560100954254146</c:v>
                </c:pt>
                <c:pt idx="2">
                  <c:v>0.0157830421833831</c:v>
                </c:pt>
                <c:pt idx="3">
                  <c:v>0.668458735036081</c:v>
                </c:pt>
              </c:numCache>
            </c:numRef>
          </c:val>
        </c:ser>
        <c:gapWidth val="100"/>
        <c:overlap val="0"/>
        <c:axId val="84425325"/>
        <c:axId val="95380908"/>
      </c:barChart>
      <c:catAx>
        <c:axId val="8442532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5380908"/>
        <c:crosses val="autoZero"/>
        <c:auto val="1"/>
        <c:lblAlgn val="ctr"/>
        <c:lblOffset val="100"/>
        <c:noMultiLvlLbl val="0"/>
      </c:catAx>
      <c:valAx>
        <c:axId val="9538090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0.00%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4425325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149040</xdr:colOff>
      <xdr:row>0</xdr:row>
      <xdr:rowOff>602280</xdr:rowOff>
    </xdr:from>
    <xdr:to>
      <xdr:col>17</xdr:col>
      <xdr:colOff>218520</xdr:colOff>
      <xdr:row>18</xdr:row>
      <xdr:rowOff>66240</xdr:rowOff>
    </xdr:to>
    <xdr:graphicFrame>
      <xdr:nvGraphicFramePr>
        <xdr:cNvPr id="0" name=""/>
        <xdr:cNvGraphicFramePr/>
      </xdr:nvGraphicFramePr>
      <xdr:xfrm>
        <a:off x="8277120" y="60228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2" createdVersion="3">
  <cacheSource type="worksheet">
    <worksheetSource ref="A1:I100000" sheet="ReporteUsuario"/>
  </cacheSource>
  <cacheFields count="9">
    <cacheField name="Nombre Completo" numFmtId="0">
      <sharedItems containsBlank="1" count="7">
        <s v="John2 Doe2"/>
        <s v="John2 Doe4"/>
        <s v="John3 Doe3"/>
        <s v="John9 Doe6"/>
        <s v="John9 Doe7"/>
        <s v="John9 Doe9"/>
        <m/>
      </sharedItems>
    </cacheField>
    <cacheField name="Institucion" numFmtId="0">
      <sharedItems containsBlank="1" count="2">
        <s v="UVM"/>
        <m/>
      </sharedItems>
    </cacheField>
    <cacheField name="Maestria" numFmtId="0">
      <sharedItems containsBlank="1" count="3">
        <s v="Finanzas"/>
        <s v="Hoteleria"/>
        <m/>
      </sharedItems>
    </cacheField>
    <cacheField name="Campus" numFmtId="0">
      <sharedItems containsBlank="1" count="4">
        <s v="CD MX"/>
        <s v="Puebla"/>
        <s v="Queretaro"/>
        <m/>
      </sharedItems>
    </cacheField>
    <cacheField name="Pais" numFmtId="0">
      <sharedItems containsBlank="1" count="2">
        <s v="MX"/>
        <m/>
      </sharedItems>
    </cacheField>
    <cacheField name="Examen" numFmtId="0">
      <sharedItems containsBlank="1" count="2">
        <s v="Examen24MFP-test"/>
        <m/>
      </sharedItems>
    </cacheField>
    <cacheField name="Modulo" numFmtId="0">
      <sharedItems containsBlank="1" count="8">
        <s v="I.Matemáticas Financieras"/>
        <s v="II Fundamentos de Estadística"/>
        <s v="III Análisis e Interpretación de Estados Financieros"/>
        <s v="IV Economía"/>
        <s v="V Administración de Capital de Trabajo"/>
        <s v="VI Planeación Financiera"/>
        <s v="VII Presupuesto y Costo de Capital"/>
        <m/>
      </sharedItems>
    </cacheField>
    <cacheField name="TotalRespuestaCorrectas" numFmtId="0">
      <sharedItems containsString="0" containsBlank="1" containsNumber="1" containsInteger="1" minValue="0" maxValue="4" count="6">
        <n v="0"/>
        <n v="1"/>
        <n v="2"/>
        <n v="3"/>
        <n v="4"/>
        <m/>
      </sharedItems>
    </cacheField>
    <cacheField name="Calificacion" numFmtId="0">
      <sharedItems containsString="0" containsBlank="1" containsNumber="1" minValue="0" maxValue="5.9" count="25">
        <n v="0"/>
        <n v="1.1"/>
        <n v="1.11"/>
        <n v="1.22"/>
        <n v="1.3"/>
        <n v="1.4"/>
        <n v="1.43"/>
        <n v="1.67"/>
        <n v="1.9"/>
        <n v="2.2"/>
        <n v="2.22"/>
        <n v="2.3"/>
        <n v="2.4"/>
        <n v="2.5"/>
        <n v="2.8"/>
        <n v="2.86"/>
        <n v="3.1"/>
        <n v="3.33"/>
        <n v="3.6"/>
        <n v="4.22"/>
        <n v="4.29"/>
        <n v="4.8"/>
        <n v="5.6"/>
        <n v="5.9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x v="1"/>
    <x v="2"/>
    <x v="0"/>
    <x v="0"/>
    <x v="0"/>
    <x v="4"/>
    <x v="3"/>
  </r>
  <r>
    <x v="0"/>
    <x v="0"/>
    <x v="1"/>
    <x v="2"/>
    <x v="0"/>
    <x v="0"/>
    <x v="1"/>
    <x v="2"/>
    <x v="17"/>
  </r>
  <r>
    <x v="0"/>
    <x v="0"/>
    <x v="1"/>
    <x v="2"/>
    <x v="0"/>
    <x v="0"/>
    <x v="2"/>
    <x v="3"/>
    <x v="20"/>
  </r>
  <r>
    <x v="0"/>
    <x v="0"/>
    <x v="1"/>
    <x v="2"/>
    <x v="0"/>
    <x v="0"/>
    <x v="3"/>
    <x v="2"/>
    <x v="15"/>
  </r>
  <r>
    <x v="0"/>
    <x v="0"/>
    <x v="1"/>
    <x v="2"/>
    <x v="0"/>
    <x v="0"/>
    <x v="4"/>
    <x v="3"/>
    <x v="20"/>
  </r>
  <r>
    <x v="0"/>
    <x v="0"/>
    <x v="1"/>
    <x v="2"/>
    <x v="0"/>
    <x v="0"/>
    <x v="5"/>
    <x v="3"/>
    <x v="17"/>
  </r>
  <r>
    <x v="0"/>
    <x v="0"/>
    <x v="1"/>
    <x v="2"/>
    <x v="0"/>
    <x v="0"/>
    <x v="6"/>
    <x v="0"/>
    <x v="0"/>
  </r>
  <r>
    <x v="2"/>
    <x v="0"/>
    <x v="0"/>
    <x v="1"/>
    <x v="0"/>
    <x v="0"/>
    <x v="0"/>
    <x v="2"/>
    <x v="10"/>
  </r>
  <r>
    <x v="2"/>
    <x v="0"/>
    <x v="0"/>
    <x v="1"/>
    <x v="0"/>
    <x v="0"/>
    <x v="1"/>
    <x v="1"/>
    <x v="7"/>
  </r>
  <r>
    <x v="2"/>
    <x v="0"/>
    <x v="0"/>
    <x v="1"/>
    <x v="0"/>
    <x v="0"/>
    <x v="2"/>
    <x v="0"/>
    <x v="0"/>
  </r>
  <r>
    <x v="2"/>
    <x v="0"/>
    <x v="0"/>
    <x v="1"/>
    <x v="0"/>
    <x v="0"/>
    <x v="3"/>
    <x v="1"/>
    <x v="11"/>
  </r>
  <r>
    <x v="2"/>
    <x v="0"/>
    <x v="0"/>
    <x v="1"/>
    <x v="0"/>
    <x v="0"/>
    <x v="4"/>
    <x v="1"/>
    <x v="6"/>
  </r>
  <r>
    <x v="2"/>
    <x v="0"/>
    <x v="0"/>
    <x v="1"/>
    <x v="0"/>
    <x v="0"/>
    <x v="5"/>
    <x v="1"/>
    <x v="2"/>
  </r>
  <r>
    <x v="2"/>
    <x v="0"/>
    <x v="0"/>
    <x v="1"/>
    <x v="0"/>
    <x v="0"/>
    <x v="6"/>
    <x v="2"/>
    <x v="13"/>
  </r>
  <r>
    <x v="5"/>
    <x v="0"/>
    <x v="1"/>
    <x v="0"/>
    <x v="0"/>
    <x v="0"/>
    <x v="0"/>
    <x v="2"/>
    <x v="9"/>
  </r>
  <r>
    <x v="5"/>
    <x v="0"/>
    <x v="1"/>
    <x v="0"/>
    <x v="0"/>
    <x v="0"/>
    <x v="1"/>
    <x v="2"/>
    <x v="10"/>
  </r>
  <r>
    <x v="5"/>
    <x v="0"/>
    <x v="1"/>
    <x v="0"/>
    <x v="0"/>
    <x v="0"/>
    <x v="2"/>
    <x v="2"/>
    <x v="23"/>
  </r>
  <r>
    <x v="5"/>
    <x v="0"/>
    <x v="1"/>
    <x v="0"/>
    <x v="0"/>
    <x v="0"/>
    <x v="3"/>
    <x v="3"/>
    <x v="18"/>
  </r>
  <r>
    <x v="5"/>
    <x v="0"/>
    <x v="1"/>
    <x v="0"/>
    <x v="0"/>
    <x v="0"/>
    <x v="4"/>
    <x v="1"/>
    <x v="21"/>
  </r>
  <r>
    <x v="5"/>
    <x v="0"/>
    <x v="1"/>
    <x v="0"/>
    <x v="0"/>
    <x v="0"/>
    <x v="5"/>
    <x v="2"/>
    <x v="12"/>
  </r>
  <r>
    <x v="5"/>
    <x v="0"/>
    <x v="1"/>
    <x v="0"/>
    <x v="0"/>
    <x v="0"/>
    <x v="6"/>
    <x v="0"/>
    <x v="1"/>
  </r>
  <r>
    <x v="4"/>
    <x v="0"/>
    <x v="1"/>
    <x v="0"/>
    <x v="0"/>
    <x v="0"/>
    <x v="0"/>
    <x v="2"/>
    <x v="19"/>
  </r>
  <r>
    <x v="4"/>
    <x v="0"/>
    <x v="1"/>
    <x v="0"/>
    <x v="0"/>
    <x v="0"/>
    <x v="1"/>
    <x v="2"/>
    <x v="4"/>
  </r>
  <r>
    <x v="4"/>
    <x v="0"/>
    <x v="1"/>
    <x v="0"/>
    <x v="0"/>
    <x v="0"/>
    <x v="2"/>
    <x v="2"/>
    <x v="8"/>
  </r>
  <r>
    <x v="4"/>
    <x v="0"/>
    <x v="1"/>
    <x v="0"/>
    <x v="0"/>
    <x v="0"/>
    <x v="3"/>
    <x v="3"/>
    <x v="22"/>
  </r>
  <r>
    <x v="4"/>
    <x v="0"/>
    <x v="1"/>
    <x v="0"/>
    <x v="0"/>
    <x v="0"/>
    <x v="4"/>
    <x v="1"/>
    <x v="14"/>
  </r>
  <r>
    <x v="4"/>
    <x v="0"/>
    <x v="1"/>
    <x v="0"/>
    <x v="0"/>
    <x v="0"/>
    <x v="5"/>
    <x v="2"/>
    <x v="5"/>
  </r>
  <r>
    <x v="4"/>
    <x v="0"/>
    <x v="1"/>
    <x v="0"/>
    <x v="0"/>
    <x v="0"/>
    <x v="6"/>
    <x v="0"/>
    <x v="16"/>
  </r>
  <r>
    <x v="3"/>
    <x v="0"/>
    <x v="1"/>
    <x v="0"/>
    <x v="0"/>
    <x v="0"/>
    <x v="0"/>
    <x v="2"/>
    <x v="19"/>
  </r>
  <r>
    <x v="3"/>
    <x v="0"/>
    <x v="1"/>
    <x v="0"/>
    <x v="0"/>
    <x v="0"/>
    <x v="1"/>
    <x v="2"/>
    <x v="4"/>
  </r>
  <r>
    <x v="3"/>
    <x v="0"/>
    <x v="1"/>
    <x v="0"/>
    <x v="0"/>
    <x v="0"/>
    <x v="2"/>
    <x v="2"/>
    <x v="8"/>
  </r>
  <r>
    <x v="3"/>
    <x v="0"/>
    <x v="1"/>
    <x v="0"/>
    <x v="0"/>
    <x v="0"/>
    <x v="3"/>
    <x v="3"/>
    <x v="22"/>
  </r>
  <r>
    <x v="3"/>
    <x v="0"/>
    <x v="1"/>
    <x v="0"/>
    <x v="0"/>
    <x v="0"/>
    <x v="4"/>
    <x v="1"/>
    <x v="14"/>
  </r>
  <r>
    <x v="3"/>
    <x v="0"/>
    <x v="1"/>
    <x v="0"/>
    <x v="0"/>
    <x v="0"/>
    <x v="5"/>
    <x v="2"/>
    <x v="5"/>
  </r>
  <r>
    <x v="3"/>
    <x v="0"/>
    <x v="1"/>
    <x v="0"/>
    <x v="0"/>
    <x v="0"/>
    <x v="6"/>
    <x v="0"/>
    <x v="16"/>
  </r>
  <r>
    <x v="1"/>
    <x v="0"/>
    <x v="1"/>
    <x v="2"/>
    <x v="0"/>
    <x v="0"/>
    <x v="0"/>
    <x v="4"/>
    <x v="3"/>
  </r>
  <r>
    <x v="1"/>
    <x v="0"/>
    <x v="1"/>
    <x v="2"/>
    <x v="0"/>
    <x v="0"/>
    <x v="1"/>
    <x v="2"/>
    <x v="17"/>
  </r>
  <r>
    <x v="1"/>
    <x v="0"/>
    <x v="1"/>
    <x v="2"/>
    <x v="0"/>
    <x v="0"/>
    <x v="2"/>
    <x v="3"/>
    <x v="20"/>
  </r>
  <r>
    <x v="1"/>
    <x v="0"/>
    <x v="1"/>
    <x v="2"/>
    <x v="0"/>
    <x v="0"/>
    <x v="3"/>
    <x v="2"/>
    <x v="15"/>
  </r>
  <r>
    <x v="1"/>
    <x v="0"/>
    <x v="1"/>
    <x v="2"/>
    <x v="0"/>
    <x v="0"/>
    <x v="4"/>
    <x v="3"/>
    <x v="20"/>
  </r>
  <r>
    <x v="1"/>
    <x v="0"/>
    <x v="1"/>
    <x v="2"/>
    <x v="0"/>
    <x v="0"/>
    <x v="5"/>
    <x v="3"/>
    <x v="17"/>
  </r>
  <r>
    <x v="1"/>
    <x v="0"/>
    <x v="1"/>
    <x v="2"/>
    <x v="0"/>
    <x v="0"/>
    <x v="6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6:I14" firstHeaderRow="1" firstDataRow="2" firstDataCol="1" rowPageCount="4" colPageCount="1"/>
  <pivotFields count="9">
    <pivotField axis="axisRow" compact="0" showAll="0" defaultSubtotal="0" outline="0">
      <items count="7">
        <item x="0"/>
        <item x="1"/>
        <item x="2"/>
        <item x="3"/>
        <item x="4"/>
        <item x="5"/>
        <item h="1" x="6"/>
      </items>
    </pivotField>
    <pivotField axis="axisPage" compact="0" showAll="0" defaultSubtotal="0" outline="0">
      <items count="2">
        <item x="0"/>
        <item h="1" x="1"/>
      </items>
    </pivotField>
    <pivotField axis="axisPage" compact="0" showAll="0" defaultSubtotal="0" outline="0">
      <items count="3">
        <item x="0"/>
        <item x="1"/>
        <item h="1" x="2"/>
      </items>
    </pivotField>
    <pivotField axis="axisPage" compact="0" showAll="0" defaultSubtotal="0" outline="0">
      <items count="4">
        <item x="0"/>
        <item x="1"/>
        <item x="2"/>
        <item h="1" x="3"/>
      </items>
    </pivotField>
    <pivotField axis="axisPage" compact="0" showAll="0" defaultSubtotal="0" outline="0">
      <items count="2">
        <item x="0"/>
        <item h="1" x="1"/>
      </items>
    </pivotField>
    <pivotField compact="0" showAll="0"/>
    <pivotField axis="axisCol" compact="0" showAll="0" defaultSubtotal="0" outline="0">
      <items count="8">
        <item x="0"/>
        <item x="1"/>
        <item x="2"/>
        <item x="3"/>
        <item x="4"/>
        <item x="5"/>
        <item x="6"/>
        <item h="1" x="7"/>
      </items>
    </pivotField>
    <pivotField compact="0" showAll="0"/>
    <pivotField dataField="1" compact="0" showAll="0" outline="0"/>
  </pivotFields>
  <rowFields count="1">
    <field x="0"/>
  </rowFields>
  <colFields count="1">
    <field x="6"/>
  </colFields>
  <pageFields count="4">
    <pageField fld="1" hier="-1"/>
    <pageField fld="4" hier="-1"/>
    <pageField fld="3" hier="-1"/>
    <pageField fld="2" hier="-1"/>
  </pageFields>
  <dataFields count="1">
    <dataField name="Promedio - Calificacion" fld="8" subtotal="average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43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B45" activeCellId="0" sqref="B4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6.04"/>
    <col collapsed="false" customWidth="true" hidden="false" outlineLevel="0" max="2" min="2" style="0" width="9.92"/>
    <col collapsed="false" customWidth="true" hidden="false" outlineLevel="0" max="3" min="3" style="0" width="8.67"/>
    <col collapsed="false" customWidth="true" hidden="false" outlineLevel="0" max="4" min="4" style="0" width="9.49"/>
    <col collapsed="false" customWidth="true" hidden="false" outlineLevel="0" max="5" min="5" style="0" width="5.19"/>
    <col collapsed="false" customWidth="true" hidden="false" outlineLevel="0" max="6" min="6" style="0" width="17.71"/>
    <col collapsed="false" customWidth="true" hidden="false" outlineLevel="0" max="7" min="7" style="0" width="42.89"/>
    <col collapsed="false" customWidth="true" hidden="false" outlineLevel="0" max="8" min="8" style="0" width="22.02"/>
    <col collapsed="false" customWidth="true" hidden="false" outlineLevel="0" max="9" min="9" style="0" width="10.89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</row>
    <row r="2" customFormat="false" ht="12.8" hidden="false" customHeight="false" outlineLevel="0" collapsed="false">
      <c r="A2" s="0" t="s">
        <v>9</v>
      </c>
      <c r="B2" s="0" t="s">
        <v>10</v>
      </c>
      <c r="C2" s="0" t="s">
        <v>11</v>
      </c>
      <c r="D2" s="0" t="s">
        <v>12</v>
      </c>
      <c r="E2" s="0" t="s">
        <v>13</v>
      </c>
      <c r="F2" s="0" t="s">
        <v>14</v>
      </c>
      <c r="G2" s="0" t="s">
        <v>15</v>
      </c>
      <c r="H2" s="0" t="n">
        <v>4</v>
      </c>
      <c r="I2" s="0" t="n">
        <v>1.22</v>
      </c>
    </row>
    <row r="3" customFormat="false" ht="12.8" hidden="false" customHeight="false" outlineLevel="0" collapsed="false">
      <c r="A3" s="0" t="s">
        <v>9</v>
      </c>
      <c r="B3" s="0" t="s">
        <v>10</v>
      </c>
      <c r="C3" s="0" t="s">
        <v>11</v>
      </c>
      <c r="D3" s="0" t="s">
        <v>12</v>
      </c>
      <c r="E3" s="0" t="s">
        <v>13</v>
      </c>
      <c r="F3" s="0" t="s">
        <v>14</v>
      </c>
      <c r="G3" s="0" t="s">
        <v>16</v>
      </c>
      <c r="H3" s="0" t="n">
        <v>2</v>
      </c>
      <c r="I3" s="0" t="n">
        <v>3.33</v>
      </c>
    </row>
    <row r="4" customFormat="false" ht="12.8" hidden="false" customHeight="false" outlineLevel="0" collapsed="false">
      <c r="A4" s="0" t="s">
        <v>9</v>
      </c>
      <c r="B4" s="0" t="s">
        <v>10</v>
      </c>
      <c r="C4" s="0" t="s">
        <v>11</v>
      </c>
      <c r="D4" s="0" t="s">
        <v>12</v>
      </c>
      <c r="E4" s="0" t="s">
        <v>13</v>
      </c>
      <c r="F4" s="0" t="s">
        <v>14</v>
      </c>
      <c r="G4" s="0" t="s">
        <v>17</v>
      </c>
      <c r="H4" s="0" t="n">
        <v>3</v>
      </c>
      <c r="I4" s="0" t="n">
        <v>4.29</v>
      </c>
    </row>
    <row r="5" customFormat="false" ht="12.8" hidden="false" customHeight="false" outlineLevel="0" collapsed="false">
      <c r="A5" s="0" t="s">
        <v>9</v>
      </c>
      <c r="B5" s="0" t="s">
        <v>10</v>
      </c>
      <c r="C5" s="0" t="s">
        <v>11</v>
      </c>
      <c r="D5" s="0" t="s">
        <v>12</v>
      </c>
      <c r="E5" s="0" t="s">
        <v>13</v>
      </c>
      <c r="F5" s="0" t="s">
        <v>14</v>
      </c>
      <c r="G5" s="0" t="s">
        <v>18</v>
      </c>
      <c r="H5" s="0" t="n">
        <v>2</v>
      </c>
      <c r="I5" s="0" t="n">
        <v>2.86</v>
      </c>
    </row>
    <row r="6" customFormat="false" ht="12.8" hidden="false" customHeight="false" outlineLevel="0" collapsed="false">
      <c r="A6" s="0" t="s">
        <v>9</v>
      </c>
      <c r="B6" s="0" t="s">
        <v>10</v>
      </c>
      <c r="C6" s="0" t="s">
        <v>11</v>
      </c>
      <c r="D6" s="0" t="s">
        <v>12</v>
      </c>
      <c r="E6" s="0" t="s">
        <v>13</v>
      </c>
      <c r="F6" s="0" t="s">
        <v>14</v>
      </c>
      <c r="G6" s="0" t="s">
        <v>19</v>
      </c>
      <c r="H6" s="0" t="n">
        <v>3</v>
      </c>
      <c r="I6" s="0" t="n">
        <v>4.29</v>
      </c>
    </row>
    <row r="7" customFormat="false" ht="12.8" hidden="false" customHeight="false" outlineLevel="0" collapsed="false">
      <c r="A7" s="0" t="s">
        <v>9</v>
      </c>
      <c r="B7" s="0" t="s">
        <v>10</v>
      </c>
      <c r="C7" s="0" t="s">
        <v>11</v>
      </c>
      <c r="D7" s="0" t="s">
        <v>12</v>
      </c>
      <c r="E7" s="0" t="s">
        <v>13</v>
      </c>
      <c r="F7" s="0" t="s">
        <v>14</v>
      </c>
      <c r="G7" s="0" t="s">
        <v>20</v>
      </c>
      <c r="H7" s="0" t="n">
        <v>3</v>
      </c>
      <c r="I7" s="0" t="n">
        <v>3.33</v>
      </c>
    </row>
    <row r="8" customFormat="false" ht="12.8" hidden="false" customHeight="false" outlineLevel="0" collapsed="false">
      <c r="A8" s="0" t="s">
        <v>9</v>
      </c>
      <c r="B8" s="0" t="s">
        <v>10</v>
      </c>
      <c r="C8" s="0" t="s">
        <v>11</v>
      </c>
      <c r="D8" s="0" t="s">
        <v>12</v>
      </c>
      <c r="E8" s="0" t="s">
        <v>13</v>
      </c>
      <c r="F8" s="0" t="s">
        <v>14</v>
      </c>
      <c r="G8" s="0" t="s">
        <v>21</v>
      </c>
      <c r="H8" s="0" t="n">
        <v>0</v>
      </c>
      <c r="I8" s="0" t="n">
        <v>0</v>
      </c>
    </row>
    <row r="9" customFormat="false" ht="12.8" hidden="false" customHeight="false" outlineLevel="0" collapsed="false">
      <c r="A9" s="0" t="s">
        <v>22</v>
      </c>
      <c r="B9" s="0" t="s">
        <v>10</v>
      </c>
      <c r="C9" s="0" t="s">
        <v>23</v>
      </c>
      <c r="D9" s="0" t="s">
        <v>24</v>
      </c>
      <c r="E9" s="0" t="s">
        <v>13</v>
      </c>
      <c r="F9" s="0" t="s">
        <v>14</v>
      </c>
      <c r="G9" s="0" t="s">
        <v>15</v>
      </c>
      <c r="H9" s="0" t="n">
        <v>2</v>
      </c>
      <c r="I9" s="0" t="n">
        <v>2.22</v>
      </c>
    </row>
    <row r="10" customFormat="false" ht="12.8" hidden="false" customHeight="false" outlineLevel="0" collapsed="false">
      <c r="A10" s="0" t="s">
        <v>22</v>
      </c>
      <c r="B10" s="0" t="s">
        <v>10</v>
      </c>
      <c r="C10" s="0" t="s">
        <v>23</v>
      </c>
      <c r="D10" s="0" t="s">
        <v>24</v>
      </c>
      <c r="E10" s="0" t="s">
        <v>13</v>
      </c>
      <c r="F10" s="0" t="s">
        <v>14</v>
      </c>
      <c r="G10" s="0" t="s">
        <v>16</v>
      </c>
      <c r="H10" s="0" t="n">
        <v>1</v>
      </c>
      <c r="I10" s="0" t="n">
        <v>1.67</v>
      </c>
    </row>
    <row r="11" customFormat="false" ht="12.8" hidden="false" customHeight="false" outlineLevel="0" collapsed="false">
      <c r="A11" s="0" t="s">
        <v>22</v>
      </c>
      <c r="B11" s="0" t="s">
        <v>10</v>
      </c>
      <c r="C11" s="0" t="s">
        <v>23</v>
      </c>
      <c r="D11" s="0" t="s">
        <v>24</v>
      </c>
      <c r="E11" s="0" t="s">
        <v>13</v>
      </c>
      <c r="F11" s="0" t="s">
        <v>14</v>
      </c>
      <c r="G11" s="0" t="s">
        <v>17</v>
      </c>
      <c r="H11" s="0" t="n">
        <v>0</v>
      </c>
      <c r="I11" s="0" t="n">
        <v>0</v>
      </c>
    </row>
    <row r="12" customFormat="false" ht="12.8" hidden="false" customHeight="false" outlineLevel="0" collapsed="false">
      <c r="A12" s="0" t="s">
        <v>22</v>
      </c>
      <c r="B12" s="0" t="s">
        <v>10</v>
      </c>
      <c r="C12" s="0" t="s">
        <v>23</v>
      </c>
      <c r="D12" s="0" t="s">
        <v>24</v>
      </c>
      <c r="E12" s="0" t="s">
        <v>13</v>
      </c>
      <c r="F12" s="0" t="s">
        <v>14</v>
      </c>
      <c r="G12" s="0" t="s">
        <v>18</v>
      </c>
      <c r="H12" s="0" t="n">
        <v>1</v>
      </c>
      <c r="I12" s="0" t="n">
        <v>2.3</v>
      </c>
    </row>
    <row r="13" customFormat="false" ht="12.8" hidden="false" customHeight="false" outlineLevel="0" collapsed="false">
      <c r="A13" s="0" t="s">
        <v>22</v>
      </c>
      <c r="B13" s="0" t="s">
        <v>10</v>
      </c>
      <c r="C13" s="0" t="s">
        <v>23</v>
      </c>
      <c r="D13" s="0" t="s">
        <v>24</v>
      </c>
      <c r="E13" s="0" t="s">
        <v>13</v>
      </c>
      <c r="F13" s="0" t="s">
        <v>14</v>
      </c>
      <c r="G13" s="0" t="s">
        <v>19</v>
      </c>
      <c r="H13" s="0" t="n">
        <v>1</v>
      </c>
      <c r="I13" s="0" t="n">
        <v>1.43</v>
      </c>
    </row>
    <row r="14" customFormat="false" ht="12.8" hidden="false" customHeight="false" outlineLevel="0" collapsed="false">
      <c r="A14" s="0" t="s">
        <v>22</v>
      </c>
      <c r="B14" s="0" t="s">
        <v>10</v>
      </c>
      <c r="C14" s="0" t="s">
        <v>23</v>
      </c>
      <c r="D14" s="0" t="s">
        <v>24</v>
      </c>
      <c r="E14" s="0" t="s">
        <v>13</v>
      </c>
      <c r="F14" s="0" t="s">
        <v>14</v>
      </c>
      <c r="G14" s="0" t="s">
        <v>20</v>
      </c>
      <c r="H14" s="0" t="n">
        <v>1</v>
      </c>
      <c r="I14" s="0" t="n">
        <v>1.11</v>
      </c>
    </row>
    <row r="15" customFormat="false" ht="12.8" hidden="false" customHeight="false" outlineLevel="0" collapsed="false">
      <c r="A15" s="0" t="s">
        <v>22</v>
      </c>
      <c r="B15" s="0" t="s">
        <v>10</v>
      </c>
      <c r="C15" s="0" t="s">
        <v>23</v>
      </c>
      <c r="D15" s="0" t="s">
        <v>24</v>
      </c>
      <c r="E15" s="0" t="s">
        <v>13</v>
      </c>
      <c r="F15" s="0" t="s">
        <v>14</v>
      </c>
      <c r="G15" s="0" t="s">
        <v>21</v>
      </c>
      <c r="H15" s="0" t="n">
        <v>2</v>
      </c>
      <c r="I15" s="0" t="n">
        <v>2.5</v>
      </c>
    </row>
    <row r="16" customFormat="false" ht="12.8" hidden="false" customHeight="false" outlineLevel="0" collapsed="false">
      <c r="A16" s="0" t="s">
        <v>25</v>
      </c>
      <c r="B16" s="0" t="s">
        <v>10</v>
      </c>
      <c r="C16" s="0" t="s">
        <v>11</v>
      </c>
      <c r="D16" s="0" t="s">
        <v>26</v>
      </c>
      <c r="E16" s="0" t="s">
        <v>13</v>
      </c>
      <c r="F16" s="0" t="s">
        <v>14</v>
      </c>
      <c r="G16" s="0" t="s">
        <v>15</v>
      </c>
      <c r="H16" s="0" t="n">
        <v>2</v>
      </c>
      <c r="I16" s="0" t="n">
        <v>2.2</v>
      </c>
    </row>
    <row r="17" customFormat="false" ht="12.8" hidden="false" customHeight="false" outlineLevel="0" collapsed="false">
      <c r="A17" s="0" t="s">
        <v>25</v>
      </c>
      <c r="B17" s="0" t="s">
        <v>10</v>
      </c>
      <c r="C17" s="0" t="s">
        <v>11</v>
      </c>
      <c r="D17" s="0" t="s">
        <v>26</v>
      </c>
      <c r="E17" s="0" t="s">
        <v>13</v>
      </c>
      <c r="F17" s="0" t="s">
        <v>14</v>
      </c>
      <c r="G17" s="0" t="s">
        <v>16</v>
      </c>
      <c r="H17" s="0" t="n">
        <v>2</v>
      </c>
      <c r="I17" s="0" t="n">
        <v>2.22</v>
      </c>
    </row>
    <row r="18" customFormat="false" ht="12.8" hidden="false" customHeight="false" outlineLevel="0" collapsed="false">
      <c r="A18" s="0" t="s">
        <v>25</v>
      </c>
      <c r="B18" s="0" t="s">
        <v>10</v>
      </c>
      <c r="C18" s="0" t="s">
        <v>11</v>
      </c>
      <c r="D18" s="0" t="s">
        <v>26</v>
      </c>
      <c r="E18" s="0" t="s">
        <v>13</v>
      </c>
      <c r="F18" s="0" t="s">
        <v>14</v>
      </c>
      <c r="G18" s="0" t="s">
        <v>17</v>
      </c>
      <c r="H18" s="0" t="n">
        <v>2</v>
      </c>
      <c r="I18" s="0" t="n">
        <v>5.9</v>
      </c>
    </row>
    <row r="19" customFormat="false" ht="12.8" hidden="false" customHeight="false" outlineLevel="0" collapsed="false">
      <c r="A19" s="0" t="s">
        <v>25</v>
      </c>
      <c r="B19" s="0" t="s">
        <v>10</v>
      </c>
      <c r="C19" s="0" t="s">
        <v>11</v>
      </c>
      <c r="D19" s="0" t="s">
        <v>26</v>
      </c>
      <c r="E19" s="0" t="s">
        <v>13</v>
      </c>
      <c r="F19" s="0" t="s">
        <v>14</v>
      </c>
      <c r="G19" s="0" t="s">
        <v>18</v>
      </c>
      <c r="H19" s="0" t="n">
        <v>3</v>
      </c>
      <c r="I19" s="0" t="n">
        <v>3.6</v>
      </c>
    </row>
    <row r="20" customFormat="false" ht="12.8" hidden="false" customHeight="false" outlineLevel="0" collapsed="false">
      <c r="A20" s="0" t="s">
        <v>25</v>
      </c>
      <c r="B20" s="0" t="s">
        <v>10</v>
      </c>
      <c r="C20" s="0" t="s">
        <v>11</v>
      </c>
      <c r="D20" s="0" t="s">
        <v>26</v>
      </c>
      <c r="E20" s="0" t="s">
        <v>13</v>
      </c>
      <c r="F20" s="0" t="s">
        <v>14</v>
      </c>
      <c r="G20" s="0" t="s">
        <v>19</v>
      </c>
      <c r="H20" s="0" t="n">
        <v>1</v>
      </c>
      <c r="I20" s="0" t="n">
        <v>4.8</v>
      </c>
    </row>
    <row r="21" customFormat="false" ht="12.8" hidden="false" customHeight="false" outlineLevel="0" collapsed="false">
      <c r="A21" s="0" t="s">
        <v>25</v>
      </c>
      <c r="B21" s="0" t="s">
        <v>10</v>
      </c>
      <c r="C21" s="0" t="s">
        <v>11</v>
      </c>
      <c r="D21" s="0" t="s">
        <v>26</v>
      </c>
      <c r="E21" s="0" t="s">
        <v>13</v>
      </c>
      <c r="F21" s="0" t="s">
        <v>14</v>
      </c>
      <c r="G21" s="0" t="s">
        <v>20</v>
      </c>
      <c r="H21" s="0" t="n">
        <v>2</v>
      </c>
      <c r="I21" s="0" t="n">
        <v>2.4</v>
      </c>
    </row>
    <row r="22" customFormat="false" ht="12.8" hidden="false" customHeight="false" outlineLevel="0" collapsed="false">
      <c r="A22" s="0" t="s">
        <v>25</v>
      </c>
      <c r="B22" s="0" t="s">
        <v>10</v>
      </c>
      <c r="C22" s="0" t="s">
        <v>11</v>
      </c>
      <c r="D22" s="0" t="s">
        <v>26</v>
      </c>
      <c r="E22" s="0" t="s">
        <v>13</v>
      </c>
      <c r="F22" s="0" t="s">
        <v>14</v>
      </c>
      <c r="G22" s="0" t="s">
        <v>21</v>
      </c>
      <c r="H22" s="0" t="n">
        <v>0</v>
      </c>
      <c r="I22" s="0" t="n">
        <v>1.1</v>
      </c>
    </row>
    <row r="23" customFormat="false" ht="12.8" hidden="false" customHeight="false" outlineLevel="0" collapsed="false">
      <c r="A23" s="0" t="s">
        <v>27</v>
      </c>
      <c r="B23" s="0" t="s">
        <v>10</v>
      </c>
      <c r="C23" s="0" t="s">
        <v>11</v>
      </c>
      <c r="D23" s="0" t="s">
        <v>26</v>
      </c>
      <c r="E23" s="0" t="s">
        <v>13</v>
      </c>
      <c r="F23" s="0" t="s">
        <v>14</v>
      </c>
      <c r="G23" s="0" t="s">
        <v>15</v>
      </c>
      <c r="H23" s="0" t="n">
        <v>2</v>
      </c>
      <c r="I23" s="0" t="n">
        <v>4.22</v>
      </c>
    </row>
    <row r="24" customFormat="false" ht="12.8" hidden="false" customHeight="false" outlineLevel="0" collapsed="false">
      <c r="A24" s="0" t="s">
        <v>27</v>
      </c>
      <c r="B24" s="0" t="s">
        <v>10</v>
      </c>
      <c r="C24" s="0" t="s">
        <v>11</v>
      </c>
      <c r="D24" s="0" t="s">
        <v>26</v>
      </c>
      <c r="E24" s="0" t="s">
        <v>13</v>
      </c>
      <c r="F24" s="0" t="s">
        <v>14</v>
      </c>
      <c r="G24" s="0" t="s">
        <v>16</v>
      </c>
      <c r="H24" s="0" t="n">
        <v>2</v>
      </c>
      <c r="I24" s="0" t="n">
        <v>1.3</v>
      </c>
    </row>
    <row r="25" customFormat="false" ht="12.8" hidden="false" customHeight="false" outlineLevel="0" collapsed="false">
      <c r="A25" s="0" t="s">
        <v>27</v>
      </c>
      <c r="B25" s="0" t="s">
        <v>10</v>
      </c>
      <c r="C25" s="0" t="s">
        <v>11</v>
      </c>
      <c r="D25" s="0" t="s">
        <v>26</v>
      </c>
      <c r="E25" s="0" t="s">
        <v>13</v>
      </c>
      <c r="F25" s="0" t="s">
        <v>14</v>
      </c>
      <c r="G25" s="0" t="s">
        <v>17</v>
      </c>
      <c r="H25" s="0" t="n">
        <v>2</v>
      </c>
      <c r="I25" s="0" t="n">
        <v>1.9</v>
      </c>
    </row>
    <row r="26" customFormat="false" ht="12.8" hidden="false" customHeight="false" outlineLevel="0" collapsed="false">
      <c r="A26" s="0" t="s">
        <v>27</v>
      </c>
      <c r="B26" s="0" t="s">
        <v>10</v>
      </c>
      <c r="C26" s="0" t="s">
        <v>11</v>
      </c>
      <c r="D26" s="0" t="s">
        <v>26</v>
      </c>
      <c r="E26" s="0" t="s">
        <v>13</v>
      </c>
      <c r="F26" s="0" t="s">
        <v>14</v>
      </c>
      <c r="G26" s="0" t="s">
        <v>18</v>
      </c>
      <c r="H26" s="0" t="n">
        <v>3</v>
      </c>
      <c r="I26" s="0" t="n">
        <v>5.6</v>
      </c>
    </row>
    <row r="27" customFormat="false" ht="12.8" hidden="false" customHeight="false" outlineLevel="0" collapsed="false">
      <c r="A27" s="0" t="s">
        <v>27</v>
      </c>
      <c r="B27" s="0" t="s">
        <v>10</v>
      </c>
      <c r="C27" s="0" t="s">
        <v>11</v>
      </c>
      <c r="D27" s="0" t="s">
        <v>26</v>
      </c>
      <c r="E27" s="0" t="s">
        <v>13</v>
      </c>
      <c r="F27" s="0" t="s">
        <v>14</v>
      </c>
      <c r="G27" s="0" t="s">
        <v>19</v>
      </c>
      <c r="H27" s="0" t="n">
        <v>1</v>
      </c>
      <c r="I27" s="0" t="n">
        <v>2.8</v>
      </c>
    </row>
    <row r="28" customFormat="false" ht="12.8" hidden="false" customHeight="false" outlineLevel="0" collapsed="false">
      <c r="A28" s="0" t="s">
        <v>27</v>
      </c>
      <c r="B28" s="0" t="s">
        <v>10</v>
      </c>
      <c r="C28" s="0" t="s">
        <v>11</v>
      </c>
      <c r="D28" s="0" t="s">
        <v>26</v>
      </c>
      <c r="E28" s="0" t="s">
        <v>13</v>
      </c>
      <c r="F28" s="0" t="s">
        <v>14</v>
      </c>
      <c r="G28" s="0" t="s">
        <v>20</v>
      </c>
      <c r="H28" s="0" t="n">
        <v>2</v>
      </c>
      <c r="I28" s="0" t="n">
        <v>1.4</v>
      </c>
    </row>
    <row r="29" customFormat="false" ht="12.8" hidden="false" customHeight="false" outlineLevel="0" collapsed="false">
      <c r="A29" s="0" t="s">
        <v>27</v>
      </c>
      <c r="B29" s="0" t="s">
        <v>10</v>
      </c>
      <c r="C29" s="0" t="s">
        <v>11</v>
      </c>
      <c r="D29" s="0" t="s">
        <v>26</v>
      </c>
      <c r="E29" s="0" t="s">
        <v>13</v>
      </c>
      <c r="F29" s="0" t="s">
        <v>14</v>
      </c>
      <c r="G29" s="0" t="s">
        <v>21</v>
      </c>
      <c r="H29" s="0" t="n">
        <v>0</v>
      </c>
      <c r="I29" s="0" t="n">
        <v>3.1</v>
      </c>
    </row>
    <row r="30" customFormat="false" ht="12.8" hidden="false" customHeight="false" outlineLevel="0" collapsed="false">
      <c r="A30" s="0" t="s">
        <v>28</v>
      </c>
      <c r="B30" s="0" t="s">
        <v>10</v>
      </c>
      <c r="C30" s="0" t="s">
        <v>11</v>
      </c>
      <c r="D30" s="0" t="s">
        <v>26</v>
      </c>
      <c r="E30" s="0" t="s">
        <v>13</v>
      </c>
      <c r="F30" s="0" t="s">
        <v>14</v>
      </c>
      <c r="G30" s="0" t="s">
        <v>15</v>
      </c>
      <c r="H30" s="0" t="n">
        <v>2</v>
      </c>
      <c r="I30" s="0" t="n">
        <v>4.22</v>
      </c>
    </row>
    <row r="31" customFormat="false" ht="12.8" hidden="false" customHeight="false" outlineLevel="0" collapsed="false">
      <c r="A31" s="0" t="s">
        <v>28</v>
      </c>
      <c r="B31" s="0" t="s">
        <v>10</v>
      </c>
      <c r="C31" s="0" t="s">
        <v>11</v>
      </c>
      <c r="D31" s="0" t="s">
        <v>26</v>
      </c>
      <c r="E31" s="0" t="s">
        <v>13</v>
      </c>
      <c r="F31" s="0" t="s">
        <v>14</v>
      </c>
      <c r="G31" s="0" t="s">
        <v>16</v>
      </c>
      <c r="H31" s="0" t="n">
        <v>2</v>
      </c>
      <c r="I31" s="0" t="n">
        <v>1.3</v>
      </c>
    </row>
    <row r="32" customFormat="false" ht="12.8" hidden="false" customHeight="false" outlineLevel="0" collapsed="false">
      <c r="A32" s="0" t="s">
        <v>28</v>
      </c>
      <c r="B32" s="0" t="s">
        <v>10</v>
      </c>
      <c r="C32" s="0" t="s">
        <v>11</v>
      </c>
      <c r="D32" s="0" t="s">
        <v>26</v>
      </c>
      <c r="E32" s="0" t="s">
        <v>13</v>
      </c>
      <c r="F32" s="0" t="s">
        <v>14</v>
      </c>
      <c r="G32" s="0" t="s">
        <v>17</v>
      </c>
      <c r="H32" s="0" t="n">
        <v>2</v>
      </c>
      <c r="I32" s="0" t="n">
        <v>1.9</v>
      </c>
    </row>
    <row r="33" customFormat="false" ht="12.8" hidden="false" customHeight="false" outlineLevel="0" collapsed="false">
      <c r="A33" s="0" t="s">
        <v>28</v>
      </c>
      <c r="B33" s="0" t="s">
        <v>10</v>
      </c>
      <c r="C33" s="0" t="s">
        <v>11</v>
      </c>
      <c r="D33" s="0" t="s">
        <v>26</v>
      </c>
      <c r="E33" s="0" t="s">
        <v>13</v>
      </c>
      <c r="F33" s="0" t="s">
        <v>14</v>
      </c>
      <c r="G33" s="0" t="s">
        <v>18</v>
      </c>
      <c r="H33" s="0" t="n">
        <v>3</v>
      </c>
      <c r="I33" s="0" t="n">
        <v>5.6</v>
      </c>
    </row>
    <row r="34" customFormat="false" ht="12.8" hidden="false" customHeight="false" outlineLevel="0" collapsed="false">
      <c r="A34" s="0" t="s">
        <v>28</v>
      </c>
      <c r="B34" s="0" t="s">
        <v>10</v>
      </c>
      <c r="C34" s="0" t="s">
        <v>11</v>
      </c>
      <c r="D34" s="0" t="s">
        <v>26</v>
      </c>
      <c r="E34" s="0" t="s">
        <v>13</v>
      </c>
      <c r="F34" s="0" t="s">
        <v>14</v>
      </c>
      <c r="G34" s="0" t="s">
        <v>19</v>
      </c>
      <c r="H34" s="0" t="n">
        <v>1</v>
      </c>
      <c r="I34" s="0" t="n">
        <v>2.8</v>
      </c>
    </row>
    <row r="35" customFormat="false" ht="12.8" hidden="false" customHeight="false" outlineLevel="0" collapsed="false">
      <c r="A35" s="0" t="s">
        <v>28</v>
      </c>
      <c r="B35" s="0" t="s">
        <v>10</v>
      </c>
      <c r="C35" s="0" t="s">
        <v>11</v>
      </c>
      <c r="D35" s="0" t="s">
        <v>26</v>
      </c>
      <c r="E35" s="0" t="s">
        <v>13</v>
      </c>
      <c r="F35" s="0" t="s">
        <v>14</v>
      </c>
      <c r="G35" s="0" t="s">
        <v>20</v>
      </c>
      <c r="H35" s="0" t="n">
        <v>2</v>
      </c>
      <c r="I35" s="0" t="n">
        <v>1.4</v>
      </c>
    </row>
    <row r="36" customFormat="false" ht="12.8" hidden="false" customHeight="false" outlineLevel="0" collapsed="false">
      <c r="A36" s="0" t="s">
        <v>28</v>
      </c>
      <c r="B36" s="0" t="s">
        <v>10</v>
      </c>
      <c r="C36" s="0" t="s">
        <v>11</v>
      </c>
      <c r="D36" s="0" t="s">
        <v>26</v>
      </c>
      <c r="E36" s="0" t="s">
        <v>13</v>
      </c>
      <c r="F36" s="0" t="s">
        <v>14</v>
      </c>
      <c r="G36" s="0" t="s">
        <v>21</v>
      </c>
      <c r="H36" s="0" t="n">
        <v>0</v>
      </c>
      <c r="I36" s="0" t="n">
        <v>3.1</v>
      </c>
    </row>
    <row r="37" customFormat="false" ht="12.8" hidden="false" customHeight="false" outlineLevel="0" collapsed="false">
      <c r="A37" s="0" t="s">
        <v>29</v>
      </c>
      <c r="B37" s="0" t="s">
        <v>10</v>
      </c>
      <c r="C37" s="0" t="s">
        <v>11</v>
      </c>
      <c r="D37" s="0" t="s">
        <v>12</v>
      </c>
      <c r="E37" s="0" t="s">
        <v>13</v>
      </c>
      <c r="F37" s="0" t="s">
        <v>14</v>
      </c>
      <c r="G37" s="0" t="s">
        <v>15</v>
      </c>
      <c r="H37" s="0" t="n">
        <v>4</v>
      </c>
      <c r="I37" s="0" t="n">
        <v>1.22</v>
      </c>
    </row>
    <row r="38" customFormat="false" ht="12.8" hidden="false" customHeight="false" outlineLevel="0" collapsed="false">
      <c r="A38" s="0" t="s">
        <v>29</v>
      </c>
      <c r="B38" s="0" t="s">
        <v>10</v>
      </c>
      <c r="C38" s="0" t="s">
        <v>11</v>
      </c>
      <c r="D38" s="0" t="s">
        <v>12</v>
      </c>
      <c r="E38" s="0" t="s">
        <v>13</v>
      </c>
      <c r="F38" s="0" t="s">
        <v>14</v>
      </c>
      <c r="G38" s="0" t="s">
        <v>16</v>
      </c>
      <c r="H38" s="0" t="n">
        <v>2</v>
      </c>
      <c r="I38" s="0" t="n">
        <v>3.33</v>
      </c>
    </row>
    <row r="39" customFormat="false" ht="12.8" hidden="false" customHeight="false" outlineLevel="0" collapsed="false">
      <c r="A39" s="0" t="s">
        <v>29</v>
      </c>
      <c r="B39" s="0" t="s">
        <v>10</v>
      </c>
      <c r="C39" s="0" t="s">
        <v>11</v>
      </c>
      <c r="D39" s="0" t="s">
        <v>12</v>
      </c>
      <c r="E39" s="0" t="s">
        <v>13</v>
      </c>
      <c r="F39" s="0" t="s">
        <v>14</v>
      </c>
      <c r="G39" s="0" t="s">
        <v>17</v>
      </c>
      <c r="H39" s="0" t="n">
        <v>3</v>
      </c>
      <c r="I39" s="0" t="n">
        <v>4.29</v>
      </c>
    </row>
    <row r="40" customFormat="false" ht="12.8" hidden="false" customHeight="false" outlineLevel="0" collapsed="false">
      <c r="A40" s="0" t="s">
        <v>29</v>
      </c>
      <c r="B40" s="0" t="s">
        <v>10</v>
      </c>
      <c r="C40" s="0" t="s">
        <v>11</v>
      </c>
      <c r="D40" s="0" t="s">
        <v>12</v>
      </c>
      <c r="E40" s="0" t="s">
        <v>13</v>
      </c>
      <c r="F40" s="0" t="s">
        <v>14</v>
      </c>
      <c r="G40" s="0" t="s">
        <v>18</v>
      </c>
      <c r="H40" s="0" t="n">
        <v>2</v>
      </c>
      <c r="I40" s="0" t="n">
        <v>2.86</v>
      </c>
    </row>
    <row r="41" customFormat="false" ht="12.8" hidden="false" customHeight="false" outlineLevel="0" collapsed="false">
      <c r="A41" s="0" t="s">
        <v>29</v>
      </c>
      <c r="B41" s="0" t="s">
        <v>10</v>
      </c>
      <c r="C41" s="0" t="s">
        <v>11</v>
      </c>
      <c r="D41" s="0" t="s">
        <v>12</v>
      </c>
      <c r="E41" s="0" t="s">
        <v>13</v>
      </c>
      <c r="F41" s="0" t="s">
        <v>14</v>
      </c>
      <c r="G41" s="0" t="s">
        <v>19</v>
      </c>
      <c r="H41" s="0" t="n">
        <v>3</v>
      </c>
      <c r="I41" s="0" t="n">
        <v>4.29</v>
      </c>
    </row>
    <row r="42" customFormat="false" ht="12.8" hidden="false" customHeight="false" outlineLevel="0" collapsed="false">
      <c r="A42" s="0" t="s">
        <v>29</v>
      </c>
      <c r="B42" s="0" t="s">
        <v>10</v>
      </c>
      <c r="C42" s="0" t="s">
        <v>11</v>
      </c>
      <c r="D42" s="0" t="s">
        <v>12</v>
      </c>
      <c r="E42" s="0" t="s">
        <v>13</v>
      </c>
      <c r="F42" s="0" t="s">
        <v>14</v>
      </c>
      <c r="G42" s="0" t="s">
        <v>20</v>
      </c>
      <c r="H42" s="0" t="n">
        <v>3</v>
      </c>
      <c r="I42" s="0" t="n">
        <v>3.33</v>
      </c>
    </row>
    <row r="43" customFormat="false" ht="12.8" hidden="false" customHeight="false" outlineLevel="0" collapsed="false">
      <c r="A43" s="0" t="s">
        <v>29</v>
      </c>
      <c r="B43" s="0" t="s">
        <v>10</v>
      </c>
      <c r="C43" s="0" t="s">
        <v>11</v>
      </c>
      <c r="D43" s="0" t="s">
        <v>12</v>
      </c>
      <c r="E43" s="0" t="s">
        <v>13</v>
      </c>
      <c r="F43" s="0" t="s">
        <v>14</v>
      </c>
      <c r="G43" s="0" t="s">
        <v>21</v>
      </c>
      <c r="H43" s="0" t="n">
        <v>0</v>
      </c>
      <c r="I43" s="0" t="n"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ColWidth="11.53515625" defaultRowHeight="12.8" zeroHeight="false" outlineLevelRow="0" outlineLevelCol="0"/>
  <cols>
    <col collapsed="false" customWidth="true" hidden="false" outlineLevel="0" max="9" min="9" style="1" width="16.55"/>
    <col collapsed="false" customWidth="true" hidden="false" outlineLevel="0" max="11" min="11" style="0" width="17.8"/>
  </cols>
  <sheetData>
    <row r="1" customFormat="false" ht="12.8" hidden="false" customHeight="false" outlineLevel="0" collapsed="false">
      <c r="A1" s="2" t="s">
        <v>1</v>
      </c>
      <c r="B1" s="3" t="s">
        <v>30</v>
      </c>
      <c r="I1" s="0"/>
      <c r="K1" s="0" t="n">
        <f aca="true">ROW(OFFSET(A1, COUNTA(A:A) - 1, 0))</f>
        <v>13</v>
      </c>
      <c r="L1" s="0" t="n">
        <f aca="true">ROW(OFFSET(B1, COUNTA(B:B) - 1, 0))</f>
        <v>13</v>
      </c>
      <c r="M1" s="0" t="n">
        <f aca="true">ROW(OFFSET(C1, COUNTA(C:C) - 1, 0))</f>
        <v>8</v>
      </c>
      <c r="N1" s="0" t="n">
        <f aca="true">ROW(OFFSET(D1, COUNTA(D:D) - 1, 0))</f>
        <v>8</v>
      </c>
      <c r="O1" s="0" t="n">
        <f aca="true">ROW(OFFSET(E1, COUNTA(E:E) - 1, 0))</f>
        <v>8</v>
      </c>
      <c r="P1" s="0" t="n">
        <f aca="true">ROW(OFFSET(F1, COUNTA(F:F) - 1, 0))</f>
        <v>8</v>
      </c>
      <c r="Q1" s="0" t="n">
        <f aca="true">ROW(OFFSET(G1, COUNTA(G:G) - 1, 0))</f>
        <v>8</v>
      </c>
    </row>
    <row r="2" customFormat="false" ht="12.8" hidden="false" customHeight="false" outlineLevel="0" collapsed="false">
      <c r="A2" s="2" t="s">
        <v>4</v>
      </c>
      <c r="B2" s="3" t="s">
        <v>30</v>
      </c>
      <c r="I2" s="0"/>
    </row>
    <row r="3" customFormat="false" ht="12.8" hidden="false" customHeight="false" outlineLevel="0" collapsed="false">
      <c r="A3" s="2" t="s">
        <v>3</v>
      </c>
      <c r="B3" s="3" t="s">
        <v>30</v>
      </c>
      <c r="I3" s="0"/>
    </row>
    <row r="4" customFormat="false" ht="12.8" hidden="false" customHeight="false" outlineLevel="0" collapsed="false">
      <c r="A4" s="2" t="s">
        <v>2</v>
      </c>
      <c r="B4" s="3" t="s">
        <v>30</v>
      </c>
      <c r="I4" s="0"/>
      <c r="K4" s="4"/>
      <c r="L4" s="4"/>
      <c r="M4" s="4"/>
      <c r="N4" s="4"/>
      <c r="O4" s="4"/>
      <c r="P4" s="4"/>
      <c r="Q4" s="4"/>
      <c r="R4" s="4"/>
      <c r="S4" s="4"/>
    </row>
    <row r="5" customFormat="false" ht="12.8" hidden="false" customHeight="false" outlineLevel="0" collapsed="false">
      <c r="I5" s="0"/>
      <c r="L5" s="1"/>
      <c r="M5" s="1"/>
      <c r="N5" s="1"/>
      <c r="O5" s="1"/>
      <c r="P5" s="1"/>
      <c r="Q5" s="1"/>
      <c r="R5" s="1"/>
      <c r="S5" s="1"/>
    </row>
    <row r="6" customFormat="false" ht="12.8" hidden="false" customHeight="false" outlineLevel="0" collapsed="false">
      <c r="A6" s="5" t="s">
        <v>31</v>
      </c>
      <c r="B6" s="6" t="s">
        <v>6</v>
      </c>
      <c r="C6" s="7"/>
      <c r="D6" s="7"/>
      <c r="E6" s="7"/>
      <c r="F6" s="7"/>
      <c r="G6" s="7"/>
      <c r="H6" s="7"/>
      <c r="I6" s="8"/>
      <c r="K6" s="4"/>
      <c r="L6" s="4"/>
      <c r="M6" s="4"/>
      <c r="N6" s="4"/>
      <c r="O6" s="4"/>
      <c r="P6" s="4"/>
      <c r="Q6" s="4"/>
      <c r="R6" s="4"/>
      <c r="S6" s="4"/>
    </row>
    <row r="7" customFormat="false" ht="12.8" hidden="false" customHeight="false" outlineLevel="0" collapsed="false">
      <c r="A7" s="9" t="s">
        <v>0</v>
      </c>
      <c r="B7" s="10" t="s">
        <v>15</v>
      </c>
      <c r="C7" s="11" t="s">
        <v>16</v>
      </c>
      <c r="D7" s="11" t="s">
        <v>17</v>
      </c>
      <c r="E7" s="11" t="s">
        <v>18</v>
      </c>
      <c r="F7" s="11" t="s">
        <v>19</v>
      </c>
      <c r="G7" s="11" t="s">
        <v>20</v>
      </c>
      <c r="H7" s="11" t="s">
        <v>21</v>
      </c>
      <c r="I7" s="12" t="s">
        <v>32</v>
      </c>
      <c r="K7" s="4"/>
      <c r="L7" s="4"/>
      <c r="M7" s="4"/>
      <c r="N7" s="4"/>
      <c r="O7" s="4"/>
      <c r="P7" s="4"/>
      <c r="Q7" s="4"/>
      <c r="R7" s="4"/>
      <c r="S7" s="4"/>
    </row>
    <row r="8" s="19" customFormat="true" ht="12.8" hidden="false" customHeight="false" outlineLevel="0" collapsed="false">
      <c r="A8" s="13" t="s">
        <v>9</v>
      </c>
      <c r="B8" s="14" t="n">
        <v>1.22</v>
      </c>
      <c r="C8" s="15" t="n">
        <v>3.33</v>
      </c>
      <c r="D8" s="15" t="n">
        <v>4.29</v>
      </c>
      <c r="E8" s="15" t="n">
        <v>2.86</v>
      </c>
      <c r="F8" s="15" t="n">
        <v>4.29</v>
      </c>
      <c r="G8" s="15" t="n">
        <v>3.33</v>
      </c>
      <c r="H8" s="16" t="n">
        <v>0</v>
      </c>
      <c r="I8" s="17" t="n">
        <v>2.76</v>
      </c>
      <c r="J8" s="0"/>
      <c r="K8" s="0"/>
      <c r="L8" s="18"/>
      <c r="M8" s="18"/>
      <c r="O8" s="18"/>
      <c r="P8" s="18"/>
      <c r="Q8" s="18"/>
      <c r="R8" s="18"/>
    </row>
    <row r="9" customFormat="false" ht="12.8" hidden="false" customHeight="false" outlineLevel="0" collapsed="false">
      <c r="A9" s="20" t="s">
        <v>29</v>
      </c>
      <c r="B9" s="21" t="n">
        <v>1.22</v>
      </c>
      <c r="C9" s="22" t="n">
        <v>3.33</v>
      </c>
      <c r="D9" s="22" t="n">
        <v>4.29</v>
      </c>
      <c r="E9" s="22" t="n">
        <v>2.86</v>
      </c>
      <c r="F9" s="22" t="n">
        <v>4.29</v>
      </c>
      <c r="G9" s="22" t="n">
        <v>3.33</v>
      </c>
      <c r="H9" s="23" t="n">
        <v>0</v>
      </c>
      <c r="I9" s="24" t="n">
        <v>2.76</v>
      </c>
      <c r="L9" s="25"/>
      <c r="M9" s="25"/>
      <c r="N9" s="25"/>
      <c r="O9" s="25"/>
      <c r="P9" s="25"/>
      <c r="Q9" s="25"/>
      <c r="R9" s="25"/>
      <c r="S9" s="25"/>
    </row>
    <row r="10" customFormat="false" ht="12.8" hidden="false" customHeight="false" outlineLevel="0" collapsed="false">
      <c r="A10" s="20" t="s">
        <v>22</v>
      </c>
      <c r="B10" s="21" t="n">
        <v>2.22</v>
      </c>
      <c r="C10" s="22" t="n">
        <v>1.67</v>
      </c>
      <c r="D10" s="22" t="n">
        <v>0</v>
      </c>
      <c r="E10" s="22" t="n">
        <v>2.3</v>
      </c>
      <c r="F10" s="22" t="n">
        <v>1.43</v>
      </c>
      <c r="G10" s="22" t="n">
        <v>1.11</v>
      </c>
      <c r="H10" s="23" t="n">
        <v>2.5</v>
      </c>
      <c r="I10" s="24" t="n">
        <v>1.60428571428571</v>
      </c>
      <c r="L10" s="25"/>
      <c r="M10" s="25"/>
      <c r="N10" s="25"/>
      <c r="O10" s="25"/>
      <c r="P10" s="25"/>
      <c r="Q10" s="25"/>
      <c r="R10" s="25"/>
      <c r="S10" s="25"/>
    </row>
    <row r="11" customFormat="false" ht="12.8" hidden="false" customHeight="false" outlineLevel="0" collapsed="false">
      <c r="A11" s="20" t="s">
        <v>28</v>
      </c>
      <c r="B11" s="21" t="n">
        <v>4.22</v>
      </c>
      <c r="C11" s="22" t="n">
        <v>1.3</v>
      </c>
      <c r="D11" s="22" t="n">
        <v>1.9</v>
      </c>
      <c r="E11" s="22" t="n">
        <v>5.6</v>
      </c>
      <c r="F11" s="22" t="n">
        <v>2.8</v>
      </c>
      <c r="G11" s="22" t="n">
        <v>1.4</v>
      </c>
      <c r="H11" s="23" t="n">
        <v>3.1</v>
      </c>
      <c r="I11" s="24" t="n">
        <v>2.90285714285714</v>
      </c>
      <c r="L11" s="25"/>
      <c r="M11" s="25"/>
      <c r="N11" s="25"/>
      <c r="O11" s="25"/>
      <c r="P11" s="25"/>
      <c r="Q11" s="25"/>
      <c r="R11" s="25"/>
      <c r="S11" s="25"/>
    </row>
    <row r="12" s="1" customFormat="true" ht="12.8" hidden="false" customHeight="false" outlineLevel="0" collapsed="false">
      <c r="A12" s="20" t="s">
        <v>27</v>
      </c>
      <c r="B12" s="21" t="n">
        <v>4.22</v>
      </c>
      <c r="C12" s="22" t="n">
        <v>1.3</v>
      </c>
      <c r="D12" s="22" t="n">
        <v>1.9</v>
      </c>
      <c r="E12" s="22" t="n">
        <v>5.6</v>
      </c>
      <c r="F12" s="22" t="n">
        <v>2.8</v>
      </c>
      <c r="G12" s="22" t="n">
        <v>1.4</v>
      </c>
      <c r="H12" s="23" t="n">
        <v>3.1</v>
      </c>
      <c r="I12" s="24" t="n">
        <v>2.90285714285714</v>
      </c>
      <c r="L12" s="26"/>
      <c r="M12" s="26"/>
      <c r="N12" s="26"/>
      <c r="O12" s="26"/>
      <c r="P12" s="26"/>
      <c r="Q12" s="26"/>
      <c r="R12" s="26"/>
      <c r="S12" s="26"/>
    </row>
    <row r="13" customFormat="false" ht="12.8" hidden="false" customHeight="false" outlineLevel="0" collapsed="false">
      <c r="A13" s="20" t="s">
        <v>25</v>
      </c>
      <c r="B13" s="27" t="n">
        <v>2.2</v>
      </c>
      <c r="C13" s="28" t="n">
        <v>2.22</v>
      </c>
      <c r="D13" s="28" t="n">
        <v>5.9</v>
      </c>
      <c r="E13" s="28" t="n">
        <v>3.6</v>
      </c>
      <c r="F13" s="28" t="n">
        <v>4.8</v>
      </c>
      <c r="G13" s="28" t="n">
        <v>2.4</v>
      </c>
      <c r="H13" s="29" t="n">
        <v>1.1</v>
      </c>
      <c r="I13" s="30" t="n">
        <v>3.17428571428571</v>
      </c>
      <c r="L13" s="19"/>
      <c r="M13" s="19"/>
      <c r="N13" s="19"/>
      <c r="O13" s="19"/>
      <c r="P13" s="19"/>
      <c r="Q13" s="19"/>
      <c r="R13" s="19"/>
      <c r="S13" s="19"/>
    </row>
    <row r="14" customFormat="false" ht="12.8" hidden="false" customHeight="false" outlineLevel="0" collapsed="false">
      <c r="A14" s="31" t="s">
        <v>32</v>
      </c>
      <c r="B14" s="32" t="n">
        <v>2.55</v>
      </c>
      <c r="C14" s="33" t="n">
        <v>2.19166666666667</v>
      </c>
      <c r="D14" s="33" t="n">
        <v>3.04666666666667</v>
      </c>
      <c r="E14" s="33" t="n">
        <v>3.80333333333333</v>
      </c>
      <c r="F14" s="33" t="n">
        <v>3.40166666666667</v>
      </c>
      <c r="G14" s="33" t="n">
        <v>2.16166666666667</v>
      </c>
      <c r="H14" s="34" t="n">
        <v>1.63333333333333</v>
      </c>
      <c r="I14" s="35" t="n">
        <v>2.68404761904762</v>
      </c>
      <c r="L14" s="19"/>
      <c r="M14" s="19"/>
      <c r="N14" s="19"/>
      <c r="O14" s="19"/>
      <c r="P14" s="19"/>
      <c r="Q14" s="19"/>
      <c r="R14" s="19"/>
      <c r="S14" s="19"/>
    </row>
    <row r="15" customFormat="false" ht="12.8" hidden="false" customHeight="false" outlineLevel="0" collapsed="false">
      <c r="L15" s="19"/>
      <c r="M15" s="19"/>
      <c r="N15" s="19"/>
      <c r="O15" s="19"/>
      <c r="P15" s="19"/>
      <c r="Q15" s="19"/>
      <c r="R15" s="19"/>
      <c r="S15" s="19"/>
    </row>
    <row r="16" customFormat="false" ht="12.8" hidden="false" customHeight="false" outlineLevel="0" collapsed="false">
      <c r="L16" s="19"/>
      <c r="M16" s="19"/>
      <c r="N16" s="19"/>
      <c r="O16" s="19"/>
      <c r="P16" s="19"/>
      <c r="Q16" s="19"/>
      <c r="R16" s="19"/>
      <c r="S16" s="19"/>
    </row>
    <row r="17" customFormat="false" ht="12.8" hidden="false" customHeight="false" outlineLevel="0" collapsed="false">
      <c r="L17" s="19"/>
      <c r="M17" s="19"/>
      <c r="N17" s="19"/>
      <c r="O17" s="19"/>
      <c r="P17" s="19"/>
      <c r="Q17" s="19"/>
      <c r="R17" s="19"/>
      <c r="S17" s="19"/>
    </row>
    <row r="18" customFormat="false" ht="12.8" hidden="false" customHeight="false" outlineLevel="0" collapsed="false">
      <c r="L18" s="19"/>
      <c r="M18" s="19"/>
      <c r="N18" s="19"/>
      <c r="O18" s="19"/>
      <c r="P18" s="19"/>
      <c r="Q18" s="19"/>
      <c r="R18" s="19"/>
      <c r="S18" s="19"/>
    </row>
    <row r="19" customFormat="false" ht="12.8" hidden="false" customHeight="false" outlineLevel="0" collapsed="false">
      <c r="L19" s="19"/>
      <c r="M19" s="19"/>
      <c r="N19" s="19"/>
      <c r="O19" s="19"/>
      <c r="P19" s="19"/>
      <c r="Q19" s="19"/>
      <c r="R19" s="19"/>
      <c r="S19" s="19"/>
    </row>
    <row r="20" customFormat="false" ht="12.8" hidden="false" customHeight="false" outlineLevel="0" collapsed="false">
      <c r="L20" s="19"/>
      <c r="M20" s="19"/>
      <c r="N20" s="19"/>
      <c r="O20" s="19"/>
      <c r="P20" s="19"/>
      <c r="Q20" s="19"/>
      <c r="R20" s="19"/>
      <c r="S20" s="19"/>
    </row>
    <row r="21" customFormat="false" ht="12.8" hidden="false" customHeight="false" outlineLevel="0" collapsed="false">
      <c r="L21" s="19"/>
      <c r="M21" s="19"/>
      <c r="N21" s="19"/>
      <c r="O21" s="19"/>
      <c r="P21" s="19"/>
      <c r="Q21" s="19"/>
      <c r="R21" s="19"/>
      <c r="S21" s="19"/>
    </row>
    <row r="22" customFormat="false" ht="12.8" hidden="false" customHeight="false" outlineLevel="0" collapsed="false">
      <c r="L22" s="19"/>
      <c r="M22" s="19"/>
      <c r="N22" s="19"/>
      <c r="O22" s="19"/>
      <c r="P22" s="19"/>
      <c r="Q22" s="19"/>
      <c r="R22" s="19"/>
      <c r="S22" s="19"/>
    </row>
    <row r="23" customFormat="false" ht="12.8" hidden="false" customHeight="false" outlineLevel="0" collapsed="false">
      <c r="L23" s="19"/>
      <c r="M23" s="19"/>
      <c r="N23" s="19"/>
      <c r="O23" s="19"/>
      <c r="P23" s="19"/>
      <c r="Q23" s="19"/>
      <c r="R23" s="19"/>
      <c r="S23" s="19"/>
    </row>
    <row r="24" customFormat="false" ht="12.8" hidden="false" customHeight="false" outlineLevel="0" collapsed="false">
      <c r="L24" s="19"/>
      <c r="M24" s="19"/>
      <c r="N24" s="19"/>
      <c r="O24" s="19"/>
      <c r="P24" s="19"/>
      <c r="Q24" s="19"/>
      <c r="R24" s="19"/>
      <c r="S24" s="19"/>
    </row>
    <row r="25" customFormat="false" ht="12.8" hidden="false" customHeight="false" outlineLevel="0" collapsed="false">
      <c r="L25" s="19"/>
      <c r="M25" s="19"/>
      <c r="N25" s="19"/>
      <c r="O25" s="19"/>
      <c r="P25" s="19"/>
      <c r="Q25" s="19"/>
      <c r="R25" s="19"/>
      <c r="S25" s="19"/>
    </row>
    <row r="26" customFormat="false" ht="12.8" hidden="false" customHeight="false" outlineLevel="0" collapsed="false">
      <c r="L26" s="19"/>
      <c r="M26" s="19"/>
      <c r="N26" s="19"/>
      <c r="O26" s="19"/>
      <c r="P26" s="19"/>
      <c r="Q26" s="19"/>
      <c r="R26" s="19"/>
      <c r="S26" s="19"/>
    </row>
    <row r="27" customFormat="false" ht="12.8" hidden="false" customHeight="false" outlineLevel="0" collapsed="false">
      <c r="L27" s="19"/>
      <c r="M27" s="19"/>
      <c r="N27" s="19"/>
      <c r="O27" s="19"/>
      <c r="P27" s="19"/>
      <c r="Q27" s="19"/>
      <c r="R27" s="19"/>
      <c r="S27" s="19"/>
    </row>
    <row r="28" customFormat="false" ht="12.8" hidden="false" customHeight="false" outlineLevel="0" collapsed="false">
      <c r="L28" s="19"/>
      <c r="M28" s="19"/>
      <c r="N28" s="19"/>
      <c r="O28" s="19"/>
      <c r="P28" s="19"/>
      <c r="Q28" s="19"/>
      <c r="R28" s="19"/>
      <c r="S28" s="19"/>
    </row>
    <row r="29" customFormat="false" ht="12.8" hidden="false" customHeight="false" outlineLevel="0" collapsed="false">
      <c r="L29" s="19"/>
      <c r="M29" s="19"/>
      <c r="N29" s="19"/>
      <c r="O29" s="19"/>
      <c r="P29" s="19"/>
      <c r="Q29" s="19"/>
      <c r="R29" s="19"/>
      <c r="S29" s="19"/>
    </row>
    <row r="30" customFormat="false" ht="12.8" hidden="false" customHeight="false" outlineLevel="0" collapsed="false">
      <c r="L30" s="19"/>
      <c r="M30" s="19"/>
      <c r="N30" s="19"/>
      <c r="O30" s="19"/>
      <c r="P30" s="19"/>
      <c r="Q30" s="19"/>
      <c r="R30" s="19"/>
      <c r="S30" s="19"/>
    </row>
    <row r="31" customFormat="false" ht="12.8" hidden="false" customHeight="false" outlineLevel="0" collapsed="false">
      <c r="L31" s="19"/>
      <c r="M31" s="19"/>
      <c r="N31" s="19"/>
      <c r="O31" s="19"/>
      <c r="P31" s="19"/>
      <c r="Q31" s="19"/>
      <c r="R31" s="19"/>
      <c r="S31" s="19"/>
    </row>
    <row r="32" customFormat="false" ht="12.8" hidden="false" customHeight="false" outlineLevel="0" collapsed="false">
      <c r="L32" s="19"/>
      <c r="M32" s="19"/>
      <c r="N32" s="19"/>
      <c r="O32" s="19"/>
      <c r="P32" s="19"/>
      <c r="Q32" s="19"/>
      <c r="R32" s="19"/>
      <c r="S32" s="19"/>
    </row>
    <row r="33" customFormat="false" ht="12.8" hidden="false" customHeight="false" outlineLevel="0" collapsed="false">
      <c r="L33" s="19"/>
      <c r="M33" s="19"/>
      <c r="N33" s="19"/>
      <c r="O33" s="19"/>
      <c r="P33" s="19"/>
      <c r="Q33" s="19"/>
      <c r="R33" s="19"/>
      <c r="S33" s="19"/>
    </row>
    <row r="34" customFormat="false" ht="12.8" hidden="false" customHeight="false" outlineLevel="0" collapsed="false">
      <c r="L34" s="19"/>
      <c r="M34" s="19"/>
      <c r="N34" s="19"/>
      <c r="O34" s="19"/>
      <c r="P34" s="19"/>
      <c r="Q34" s="19"/>
      <c r="R34" s="19"/>
      <c r="S34" s="19"/>
    </row>
  </sheetData>
  <mergeCells count="3">
    <mergeCell ref="K4:S4"/>
    <mergeCell ref="K6:S6"/>
    <mergeCell ref="K7:S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0</v>
      </c>
      <c r="B1" s="10" t="s">
        <v>15</v>
      </c>
      <c r="C1" s="36"/>
      <c r="D1" s="36"/>
      <c r="E1" s="36"/>
      <c r="F1" s="36"/>
      <c r="G1" s="36"/>
      <c r="H1" s="36"/>
      <c r="I1" s="37"/>
    </row>
    <row r="2" customFormat="false" ht="12.8" hidden="false" customHeight="false" outlineLevel="0" collapsed="false">
      <c r="A2" s="0" t="s">
        <v>33</v>
      </c>
      <c r="B2" s="0" t="n">
        <f aca="true">ROW(OFFSET(PromedioReporteUsuario!A1, COUNTA(PromedioReporteUsuario!A:A) - 1, 0))</f>
        <v>13</v>
      </c>
      <c r="F2" s="38" t="n">
        <f aca="true">SUM(INDIRECT("C" &amp; B2) + 1)</f>
        <v>1</v>
      </c>
    </row>
    <row r="3" customFormat="false" ht="12.8" hidden="false" customHeight="false" outlineLevel="0" collapsed="false">
      <c r="A3" s="0" t="s">
        <v>34</v>
      </c>
      <c r="B3" s="0" t="n">
        <f aca="false">SUM(B2+1)</f>
        <v>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6" activeCellId="0" sqref="I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4" t="s">
        <v>35</v>
      </c>
      <c r="B1" s="4"/>
      <c r="C1" s="4"/>
      <c r="D1" s="4"/>
      <c r="E1" s="4"/>
      <c r="F1" s="4"/>
      <c r="G1" s="4"/>
      <c r="H1" s="4"/>
      <c r="I1" s="4"/>
    </row>
    <row r="2" customFormat="false" ht="12.8" hidden="false" customHeight="false" outlineLevel="0" collapsed="false">
      <c r="A2" s="4"/>
      <c r="B2" s="39" t="s">
        <v>15</v>
      </c>
      <c r="C2" s="0" t="s">
        <v>16</v>
      </c>
      <c r="D2" s="39" t="s">
        <v>17</v>
      </c>
      <c r="E2" s="39" t="s">
        <v>18</v>
      </c>
      <c r="F2" s="39" t="s">
        <v>19</v>
      </c>
      <c r="G2" s="39" t="s">
        <v>20</v>
      </c>
      <c r="H2" s="39" t="s">
        <v>21</v>
      </c>
      <c r="I2" s="39" t="s">
        <v>36</v>
      </c>
    </row>
    <row r="3" customFormat="false" ht="12.8" hidden="false" customHeight="false" outlineLevel="0" collapsed="false">
      <c r="B3" s="1" t="n">
        <f aca="false">_xlfn.STDEV.S(PromedioReporteUsuario!B8:B13)</f>
        <v>1.36726003379021</v>
      </c>
      <c r="C3" s="1" t="n">
        <f aca="false">_xlfn.STDEV.S(PromedioReporteUsuario!C8:C13)</f>
        <v>0.943894414999192</v>
      </c>
      <c r="D3" s="1" t="n">
        <f aca="false">_xlfn.STDEV.S(PromedioReporteUsuario!D8:D13)</f>
        <v>2.15151729406637</v>
      </c>
      <c r="E3" s="1" t="n">
        <f aca="false">_xlfn.STDEV.S(PromedioReporteUsuario!E8:E13)</f>
        <v>1.45169785653443</v>
      </c>
      <c r="F3" s="1" t="n">
        <f aca="false">_xlfn.STDEV.S(PromedioReporteUsuario!F8:F13)</f>
        <v>1.2763293723278</v>
      </c>
      <c r="G3" s="1" t="n">
        <f aca="false">_xlfn.STDEV.S(PromedioReporteUsuario!G8:G13)</f>
        <v>1.00529431842952</v>
      </c>
      <c r="H3" s="1" t="n">
        <f aca="false">_xlfn.STDEV.S(PromedioReporteUsuario!H8:H13)</f>
        <v>1.46104985084927</v>
      </c>
      <c r="I3" s="1" t="n">
        <f aca="false">_xlfn.STDEV.S(PromedioReporteUsuario!I8:I14)</f>
        <v>0.502246935408255</v>
      </c>
    </row>
    <row r="5" customFormat="false" ht="12.8" hidden="false" customHeight="false" outlineLevel="0" collapsed="false">
      <c r="A5" s="4" t="s">
        <v>37</v>
      </c>
      <c r="B5" s="4"/>
      <c r="C5" s="4"/>
      <c r="D5" s="4"/>
      <c r="E5" s="4"/>
      <c r="F5" s="4"/>
      <c r="G5" s="4"/>
      <c r="H5" s="4"/>
      <c r="I5" s="4"/>
    </row>
    <row r="6" customFormat="false" ht="12.8" hidden="false" customHeight="false" outlineLevel="0" collapsed="false">
      <c r="B6" s="1" t="n">
        <f aca="true">_xlfn.STDEV.S(PromedioReporteUsuario!B8:INDIRECT("$PromedioReporteUsuario.B"&amp;pivote!$B$2))</f>
        <v>1.36726003379021</v>
      </c>
      <c r="C6" s="1" t="n">
        <f aca="true">_xlfn.STDEV.S(PromedioReporteUsuario!C8:INDIRECT("$PromedioReporteUsuario.c"&amp;pivote!$B$2))</f>
        <v>0.943894414999192</v>
      </c>
      <c r="D6" s="1" t="n">
        <f aca="true">_xlfn.STDEV.S(PromedioReporteUsuario!D8:INDIRECT("$PromedioReporteUsuario.d"&amp;pivote!$B$2))</f>
        <v>2.15151729406637</v>
      </c>
      <c r="E6" s="1" t="n">
        <f aca="true">_xlfn.STDEV.S(PromedioReporteUsuario!E8:INDIRECT("$PromedioReporteUsuario.e"&amp;pivote!$B$2))</f>
        <v>1.45169785653443</v>
      </c>
      <c r="F6" s="1" t="n">
        <f aca="true">_xlfn.STDEV.S(PromedioReporteUsuario!F8:INDIRECT("$PromedioReporteUsuario.f"&amp;pivote!$B$2))</f>
        <v>1.2763293723278</v>
      </c>
      <c r="G6" s="1" t="n">
        <f aca="true">_xlfn.STDEV.S(PromedioReporteUsuario!G8:INDIRECT("$PromedioReporteUsuario.g"&amp;pivote!$B$2))</f>
        <v>1.00529431842952</v>
      </c>
      <c r="H6" s="1" t="n">
        <f aca="true">_xlfn.STDEV.S(PromedioReporteUsuario!H8:INDIRECT("$PromedioReporteUsuario.H"&amp;pivote!$B$2))</f>
        <v>1.46104985084927</v>
      </c>
      <c r="I6" s="1" t="n">
        <f aca="true">_xlfn.STDEV.S(PromedioReporteUsuario!I8:INDIRECT("$PromedioReporteUsuario.I"&amp;pivote!$B$3))</f>
        <v>0.502246935408255</v>
      </c>
    </row>
  </sheetData>
  <mergeCells count="2">
    <mergeCell ref="A1:I1"/>
    <mergeCell ref="A5:I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5" activeCellId="0" sqref="I25"/>
    </sheetView>
  </sheetViews>
  <sheetFormatPr defaultColWidth="11.53515625" defaultRowHeight="12.8" zeroHeight="false" outlineLevelRow="0" outlineLevelCol="0"/>
  <sheetData>
    <row r="1" s="19" customFormat="true" ht="79.85" hidden="false" customHeight="false" outlineLevel="0" collapsed="false">
      <c r="A1" s="19" t="str">
        <f aca="false">PromedioReporteUsuario!A7</f>
        <v>Nombre Completo</v>
      </c>
      <c r="B1" s="40" t="str">
        <f aca="false">PromedioReporteUsuario!B7</f>
        <v>I.Matemáticas Financieras</v>
      </c>
      <c r="C1" s="40" t="str">
        <f aca="false">PromedioReporteUsuario!C7</f>
        <v>II Fundamentos de Estadística</v>
      </c>
      <c r="D1" s="40" t="str">
        <f aca="false">PromedioReporteUsuario!D7</f>
        <v>III Análisis e Interpretación de Estados Financieros</v>
      </c>
      <c r="E1" s="40" t="str">
        <f aca="false">PromedioReporteUsuario!E7</f>
        <v>IV Economía</v>
      </c>
      <c r="F1" s="40" t="str">
        <f aca="false">PromedioReporteUsuario!F7</f>
        <v>V Administración de Capital de Trabajo</v>
      </c>
      <c r="G1" s="40" t="str">
        <f aca="false">PromedioReporteUsuario!G7</f>
        <v>VI Planeación Financiera</v>
      </c>
      <c r="H1" s="40" t="str">
        <f aca="false">PromedioReporteUsuario!H7</f>
        <v>VII Presupuesto y Costo de Capital</v>
      </c>
      <c r="I1" s="40" t="str">
        <f aca="false">PromedioReporteUsuario!I7</f>
        <v>Total Resultado</v>
      </c>
    </row>
    <row r="2" customFormat="false" ht="12.8" hidden="false" customHeight="false" outlineLevel="0" collapsed="false">
      <c r="A2" s="0" t="str">
        <f aca="false">PromedioReporteUsuario!A8</f>
        <v>John2 Doe2</v>
      </c>
      <c r="B2" s="41" t="n">
        <f aca="true">NORMDIST(PromedioReporteUsuario!B8,INDIRECT("$PromedioReporteUsuario.B"&amp;pivote!$B$3),desviacionEstandar!$B$6, TRUE())</f>
        <v>0.16533918375416</v>
      </c>
      <c r="C2" s="41" t="n">
        <f aca="true">NORMDIST(PromedioReporteUsuario!C8,INDIRECT("$PromedioReporteUsuario.C"&amp;pivote!$B$3),desviacionEstandar!$C$6, TRUE())</f>
        <v>0.886090574398313</v>
      </c>
      <c r="D2" s="41" t="n">
        <f aca="true">NORMDIST(PromedioReporteUsuario!D8,INDIRECT("$PromedioReporteUsuario.D"&amp;pivote!$B$3),desviacionEstandar!$D$6, TRUE())</f>
        <v>0.718329708741006</v>
      </c>
      <c r="E2" s="41" t="n">
        <f aca="true">NORMDIST(PromedioReporteUsuario!E8,INDIRECT("$PromedioReporteUsuario.E"&amp;pivote!$B$3),desviacionEstandar!$E$6, TRUE())</f>
        <v>0.257906244616335</v>
      </c>
      <c r="F2" s="41" t="n">
        <f aca="true">NORMDIST(PromedioReporteUsuario!F8,INDIRECT("$PromedioReporteUsuario.F"&amp;pivote!$B$3),desviacionEstandar!$F$6, TRUE())</f>
        <v>0.75678756992086</v>
      </c>
      <c r="G2" s="41" t="n">
        <f aca="true">NORMDIST(PromedioReporteUsuario!G8,INDIRECT("$PromedioReporteUsuario.G"&amp;pivote!$B$3),desviacionEstandar!$G$6, TRUE())</f>
        <v>0.877418898802456</v>
      </c>
      <c r="H2" s="41" t="n">
        <f aca="true">NORMDIST(PromedioReporteUsuario!H8,INDIRECT("$PromedioReporteUsuario.H"&amp;pivote!$B$3),desviacionEstandar!$H$6, TRUE())</f>
        <v>0.131801095102975</v>
      </c>
      <c r="I2" s="41" t="n">
        <f aca="true">NORMDIST(PromedioReporteUsuario!I8,INDIRECT("$PromedioReporteUsuario.I"&amp;pivote!$B$3),desviacionEstandar!$I$6, TRUE())</f>
        <v>0.560100954254146</v>
      </c>
    </row>
    <row r="3" customFormat="false" ht="12.8" hidden="false" customHeight="false" outlineLevel="0" collapsed="false">
      <c r="A3" s="0" t="str">
        <f aca="false">PromedioReporteUsuario!A9</f>
        <v>John2 Doe4</v>
      </c>
      <c r="B3" s="41" t="n">
        <f aca="true">NORMDIST(PromedioReporteUsuario!B9,INDIRECT("$PromedioReporteUsuario.B"&amp;pivote!$B$3),desviacionEstandar!$B$6, TRUE())</f>
        <v>0.16533918375416</v>
      </c>
      <c r="C3" s="41" t="n">
        <f aca="true">NORMDIST(PromedioReporteUsuario!C9,INDIRECT("$PromedioReporteUsuario.C"&amp;pivote!$B$3),desviacionEstandar!$C$6, TRUE())</f>
        <v>0.886090574398313</v>
      </c>
      <c r="D3" s="41" t="n">
        <f aca="true">NORMDIST(PromedioReporteUsuario!D9,INDIRECT("$PromedioReporteUsuario.D"&amp;pivote!$B$3),desviacionEstandar!$D$6, TRUE())</f>
        <v>0.718329708741006</v>
      </c>
      <c r="E3" s="41" t="n">
        <f aca="true">NORMDIST(PromedioReporteUsuario!E9,INDIRECT("$PromedioReporteUsuario.E"&amp;pivote!$B$3),desviacionEstandar!$E$6, TRUE())</f>
        <v>0.257906244616335</v>
      </c>
      <c r="F3" s="41" t="n">
        <f aca="true">NORMDIST(PromedioReporteUsuario!F9,INDIRECT("$PromedioReporteUsuario.F"&amp;pivote!$B$3),desviacionEstandar!$F$6, TRUE())</f>
        <v>0.75678756992086</v>
      </c>
      <c r="G3" s="41" t="n">
        <f aca="true">NORMDIST(PromedioReporteUsuario!G9,INDIRECT("$PromedioReporteUsuario.G"&amp;pivote!$B$3),desviacionEstandar!$G$6, TRUE())</f>
        <v>0.877418898802456</v>
      </c>
      <c r="H3" s="41" t="n">
        <f aca="true">NORMDIST(PromedioReporteUsuario!H9,INDIRECT("$PromedioReporteUsuario.H"&amp;pivote!$B$3),desviacionEstandar!$H$6, TRUE())</f>
        <v>0.131801095102975</v>
      </c>
      <c r="I3" s="41" t="n">
        <f aca="true">NORMDIST(PromedioReporteUsuario!I9,INDIRECT("$PromedioReporteUsuario.I"&amp;pivote!$B$3),desviacionEstandar!$I$6, TRUE())</f>
        <v>0.560100954254146</v>
      </c>
    </row>
    <row r="4" customFormat="false" ht="12.8" hidden="false" customHeight="false" outlineLevel="0" collapsed="false">
      <c r="A4" s="0" t="str">
        <f aca="false">PromedioReporteUsuario!A10</f>
        <v>John3 Doe3</v>
      </c>
      <c r="B4" s="41" t="n">
        <f aca="true">NORMDIST(PromedioReporteUsuario!B10,INDIRECT("$PromedioReporteUsuario.B"&amp;pivote!$B$3),desviacionEstandar!$B$6, TRUE())</f>
        <v>0.404638589192026</v>
      </c>
      <c r="C4" s="41" t="n">
        <f aca="true">NORMDIST(PromedioReporteUsuario!C10,INDIRECT("$PromedioReporteUsuario.C"&amp;pivote!$B$3),desviacionEstandar!$C$6, TRUE())</f>
        <v>0.290243052573904</v>
      </c>
      <c r="D4" s="41" t="n">
        <f aca="true">NORMDIST(PromedioReporteUsuario!D10,INDIRECT("$PromedioReporteUsuario.D"&amp;pivote!$B$3),desviacionEstandar!$D$6, TRUE())</f>
        <v>0.078379711536347</v>
      </c>
      <c r="E4" s="41" t="n">
        <f aca="true">NORMDIST(PromedioReporteUsuario!E10,INDIRECT("$PromedioReporteUsuario.E"&amp;pivote!$B$3),desviacionEstandar!$E$6, TRUE())</f>
        <v>0.150201624530251</v>
      </c>
      <c r="F4" s="41" t="n">
        <f aca="true">NORMDIST(PromedioReporteUsuario!F10,INDIRECT("$PromedioReporteUsuario.F"&amp;pivote!$B$3),desviacionEstandar!$F$6, TRUE())</f>
        <v>0.0611979822053341</v>
      </c>
      <c r="G4" s="41" t="n">
        <f aca="true">NORMDIST(PromedioReporteUsuario!G10,INDIRECT("$PromedioReporteUsuario.G"&amp;pivote!$B$3),desviacionEstandar!$G$6, TRUE())</f>
        <v>0.147750939362769</v>
      </c>
      <c r="H4" s="41" t="n">
        <f aca="true">NORMDIST(PromedioReporteUsuario!H10,INDIRECT("$PromedioReporteUsuario.H"&amp;pivote!$B$3),desviacionEstandar!$H$6, TRUE())</f>
        <v>0.723469907656082</v>
      </c>
      <c r="I4" s="41" t="n">
        <f aca="true">NORMDIST(PromedioReporteUsuario!I10,INDIRECT("$PromedioReporteUsuario.I"&amp;pivote!$B$3),desviacionEstandar!$I$6, TRUE())</f>
        <v>0.0157830421833831</v>
      </c>
    </row>
    <row r="5" customFormat="false" ht="12.8" hidden="false" customHeight="false" outlineLevel="0" collapsed="false">
      <c r="A5" s="0" t="str">
        <f aca="false">PromedioReporteUsuario!A11</f>
        <v>John9 Doe6</v>
      </c>
      <c r="B5" s="41" t="n">
        <f aca="true">NORMDIST(PromedioReporteUsuario!B11,INDIRECT("$PromedioReporteUsuario.B"&amp;pivote!$B$3),desviacionEstandar!$B$6, TRUE())</f>
        <v>0.889036653663918</v>
      </c>
      <c r="C5" s="41" t="n">
        <f aca="true">NORMDIST(PromedioReporteUsuario!C11,INDIRECT("$PromedioReporteUsuario.C"&amp;pivote!$B$3),desviacionEstandar!$C$6, TRUE())</f>
        <v>0.172414248845979</v>
      </c>
      <c r="D5" s="41" t="n">
        <f aca="true">NORMDIST(PromedioReporteUsuario!D11,INDIRECT("$PromedioReporteUsuario.D"&amp;pivote!$B$3),desviacionEstandar!$D$6, TRUE())</f>
        <v>0.297031598612867</v>
      </c>
      <c r="E5" s="41" t="n">
        <f aca="true">NORMDIST(PromedioReporteUsuario!E11,INDIRECT("$PromedioReporteUsuario.E"&amp;pivote!$B$3),desviacionEstandar!$E$6, TRUE())</f>
        <v>0.892073593486949</v>
      </c>
      <c r="F5" s="41" t="n">
        <f aca="true">NORMDIST(PromedioReporteUsuario!F11,INDIRECT("$PromedioReporteUsuario.F"&amp;pivote!$B$3),desviacionEstandar!$F$6, TRUE())</f>
        <v>0.318676159336876</v>
      </c>
      <c r="G5" s="41" t="n">
        <f aca="true">NORMDIST(PromedioReporteUsuario!G11,INDIRECT("$PromedioReporteUsuario.G"&amp;pivote!$B$3),desviacionEstandar!$G$6, TRUE())</f>
        <v>0.224328653407137</v>
      </c>
      <c r="H5" s="41" t="n">
        <f aca="true">NORMDIST(PromedioReporteUsuario!H11,INDIRECT("$PromedioReporteUsuario.H"&amp;pivote!$B$3),desviacionEstandar!$H$6, TRUE())</f>
        <v>0.84227318293702</v>
      </c>
      <c r="I5" s="41" t="n">
        <f aca="true">NORMDIST(PromedioReporteUsuario!I11,INDIRECT("$PromedioReporteUsuario.I"&amp;pivote!$B$3),desviacionEstandar!$I$6, TRUE())</f>
        <v>0.668458735036081</v>
      </c>
    </row>
    <row r="6" customFormat="false" ht="12.8" hidden="false" customHeight="false" outlineLevel="0" collapsed="false">
      <c r="A6" s="0" t="str">
        <f aca="false">PromedioReporteUsuario!A12</f>
        <v>John9 Doe7</v>
      </c>
      <c r="B6" s="41" t="n">
        <f aca="true">NORMDIST(PromedioReporteUsuario!B12,INDIRECT("$PromedioReporteUsuario.B"&amp;pivote!$B$3),desviacionEstandar!$B$6, TRUE())</f>
        <v>0.889036653663918</v>
      </c>
      <c r="C6" s="41" t="n">
        <f aca="true">NORMDIST(PromedioReporteUsuario!C12,INDIRECT("$PromedioReporteUsuario.C"&amp;pivote!$B$3),desviacionEstandar!$C$6, TRUE())</f>
        <v>0.172414248845979</v>
      </c>
      <c r="D6" s="41" t="n">
        <f aca="true">NORMDIST(PromedioReporteUsuario!D12,INDIRECT("$PromedioReporteUsuario.D"&amp;pivote!$B$3),desviacionEstandar!$D$6, TRUE())</f>
        <v>0.297031598612867</v>
      </c>
      <c r="E6" s="41" t="n">
        <f aca="true">NORMDIST(PromedioReporteUsuario!E12,INDIRECT("$PromedioReporteUsuario.E"&amp;pivote!$B$3),desviacionEstandar!$E$6, TRUE())</f>
        <v>0.892073593486949</v>
      </c>
      <c r="F6" s="41" t="n">
        <f aca="true">NORMDIST(PromedioReporteUsuario!F12,INDIRECT("$PromedioReporteUsuario.F"&amp;pivote!$B$3),desviacionEstandar!$F$6, TRUE())</f>
        <v>0.318676159336876</v>
      </c>
      <c r="G6" s="41" t="n">
        <f aca="true">NORMDIST(PromedioReporteUsuario!G12,INDIRECT("$PromedioReporteUsuario.G"&amp;pivote!$B$3),desviacionEstandar!$G$6, TRUE())</f>
        <v>0.224328653407137</v>
      </c>
      <c r="H6" s="41" t="n">
        <f aca="true">NORMDIST(PromedioReporteUsuario!H12,INDIRECT("$PromedioReporteUsuario.H"&amp;pivote!$B$3),desviacionEstandar!$H$6, TRUE())</f>
        <v>0.84227318293702</v>
      </c>
      <c r="I6" s="41" t="n">
        <f aca="true">NORMDIST(PromedioReporteUsuario!I12,INDIRECT("$PromedioReporteUsuario.I"&amp;pivote!$B$3),desviacionEstandar!$I$6, TRUE())</f>
        <v>0.668458735036081</v>
      </c>
    </row>
    <row r="7" customFormat="false" ht="12.8" hidden="false" customHeight="false" outlineLevel="0" collapsed="false">
      <c r="A7" s="0" t="str">
        <f aca="false">PromedioReporteUsuario!A13</f>
        <v>John9 Doe9</v>
      </c>
      <c r="B7" s="41" t="n">
        <f aca="true">NORMDIST(PromedioReporteUsuario!B13,INDIRECT("$PromedioReporteUsuario.B"&amp;pivote!$B$3),desviacionEstandar!$B$6, TRUE())</f>
        <v>0.398980662010197</v>
      </c>
      <c r="C7" s="41" t="n">
        <f aca="true">NORMDIST(PromedioReporteUsuario!C13,INDIRECT("$PromedioReporteUsuario.C"&amp;pivote!$B$3),desviacionEstandar!$C$6, TRUE())</f>
        <v>0.511973444465712</v>
      </c>
      <c r="D7" s="41" t="n">
        <f aca="true">NORMDIST(PromedioReporteUsuario!D13,INDIRECT("$PromedioReporteUsuario.D"&amp;pivote!$B$3),desviacionEstandar!$D$6, TRUE())</f>
        <v>0.907612585272646</v>
      </c>
      <c r="E7" s="41" t="n">
        <f aca="true">NORMDIST(PromedioReporteUsuario!E13,INDIRECT("$PromedioReporteUsuario.E"&amp;pivote!$B$3),desviacionEstandar!$E$6, TRUE())</f>
        <v>0.444303970512684</v>
      </c>
      <c r="F7" s="41" t="n">
        <f aca="true">NORMDIST(PromedioReporteUsuario!F13,INDIRECT("$PromedioReporteUsuario.F"&amp;pivote!$B$3),desviacionEstandar!$F$6, TRUE())</f>
        <v>0.863370817680568</v>
      </c>
      <c r="G7" s="41" t="n">
        <f aca="true">NORMDIST(PromedioReporteUsuario!G13,INDIRECT("$PromedioReporteUsuario.G"&amp;pivote!$B$3),desviacionEstandar!$G$6, TRUE())</f>
        <v>0.593701924728473</v>
      </c>
      <c r="H7" s="41" t="n">
        <f aca="true">NORMDIST(PromedioReporteUsuario!H13,INDIRECT("$PromedioReporteUsuario.H"&amp;pivote!$B$3),desviacionEstandar!$H$6, TRUE())</f>
        <v>0.357542895223468</v>
      </c>
      <c r="I7" s="41" t="n">
        <f aca="true">NORMDIST(PromedioReporteUsuario!I13,INDIRECT("$PromedioReporteUsuario.I"&amp;pivote!$B$3),desviacionEstandar!$I$6, TRUE())</f>
        <v>0.83549000958007</v>
      </c>
    </row>
    <row r="8" customFormat="false" ht="12.8" hidden="false" customHeight="false" outlineLevel="0" collapsed="false">
      <c r="A8" s="0" t="str">
        <f aca="false">PromedioReporteUsuario!A14</f>
        <v>Total Resultado</v>
      </c>
      <c r="B8" s="41" t="n">
        <f aca="true">NORMDIST(PromedioReporteUsuario!B14,INDIRECT("$PromedioReporteUsuario.B"&amp;pivote!$B$3),desviacionEstandar!$B$6, TRUE())</f>
        <v>0.5</v>
      </c>
      <c r="C8" s="41" t="n">
        <f aca="true">NORMDIST(PromedioReporteUsuario!C14,INDIRECT("$PromedioReporteUsuario.C"&amp;pivote!$B$3),desviacionEstandar!$C$6, TRUE())</f>
        <v>0.5</v>
      </c>
      <c r="D8" s="41" t="n">
        <f aca="true">NORMDIST(PromedioReporteUsuario!D14,INDIRECT("$PromedioReporteUsuario.D"&amp;pivote!$B$3),desviacionEstandar!$D$6, TRUE())</f>
        <v>0.5</v>
      </c>
      <c r="E8" s="41" t="n">
        <f aca="true">NORMDIST(PromedioReporteUsuario!E14,INDIRECT("$PromedioReporteUsuario.E"&amp;pivote!$B$3),desviacionEstandar!$E$6, TRUE())</f>
        <v>0.5</v>
      </c>
      <c r="F8" s="41" t="n">
        <f aca="true">NORMDIST(PromedioReporteUsuario!F14,INDIRECT("$PromedioReporteUsuario.F"&amp;pivote!$B$3),desviacionEstandar!$F$6, TRUE())</f>
        <v>0.5</v>
      </c>
      <c r="G8" s="41" t="n">
        <f aca="true">NORMDIST(PromedioReporteUsuario!G14,INDIRECT("$PromedioReporteUsuario.G"&amp;pivote!$B$3),desviacionEstandar!$G$6, TRUE())</f>
        <v>0.5</v>
      </c>
      <c r="H8" s="41" t="n">
        <f aca="true">NORMDIST(PromedioReporteUsuario!H14,INDIRECT("$PromedioReporteUsuario.H"&amp;pivote!$B$3),desviacionEstandar!$H$6, TRUE())</f>
        <v>0.5</v>
      </c>
      <c r="I8" s="41" t="n">
        <f aca="true">NORMDIST(PromedioReporteUsuario!I14,INDIRECT("$PromedioReporteUsuario.I"&amp;pivote!$B$3),desviacionEstandar!$I$6, TRUE())</f>
        <v>0.5</v>
      </c>
    </row>
    <row r="9" customFormat="false" ht="12.8" hidden="false" customHeight="false" outlineLevel="0" collapsed="false">
      <c r="B9" s="41"/>
      <c r="C9" s="41"/>
      <c r="D9" s="41"/>
      <c r="E9" s="41"/>
      <c r="F9" s="41"/>
      <c r="G9" s="41"/>
      <c r="H9" s="41"/>
      <c r="I9" s="41"/>
    </row>
    <row r="10" customFormat="false" ht="12.8" hidden="false" customHeight="false" outlineLevel="0" collapsed="false">
      <c r="B10" s="41"/>
      <c r="C10" s="41"/>
      <c r="D10" s="41"/>
      <c r="E10" s="41"/>
      <c r="F10" s="41"/>
      <c r="G10" s="41"/>
      <c r="H10" s="41"/>
      <c r="I10" s="41"/>
    </row>
    <row r="11" customFormat="false" ht="12.8" hidden="false" customHeight="false" outlineLevel="0" collapsed="false">
      <c r="B11" s="41"/>
      <c r="C11" s="41"/>
      <c r="D11" s="41"/>
      <c r="E11" s="41"/>
      <c r="F11" s="41"/>
      <c r="G11" s="41"/>
      <c r="H11" s="41"/>
      <c r="I11" s="41"/>
    </row>
    <row r="12" customFormat="false" ht="12.8" hidden="false" customHeight="false" outlineLevel="0" collapsed="false">
      <c r="B12" s="41"/>
      <c r="C12" s="41"/>
      <c r="D12" s="41"/>
      <c r="E12" s="41"/>
      <c r="F12" s="41"/>
      <c r="G12" s="41"/>
      <c r="H12" s="41"/>
      <c r="I12" s="41"/>
    </row>
    <row r="13" customFormat="false" ht="12.8" hidden="false" customHeight="false" outlineLevel="0" collapsed="false">
      <c r="B13" s="41"/>
      <c r="C13" s="41"/>
      <c r="D13" s="41"/>
      <c r="E13" s="41"/>
      <c r="F13" s="41"/>
      <c r="G13" s="41"/>
      <c r="H13" s="41"/>
      <c r="I13" s="41"/>
    </row>
    <row r="14" customFormat="false" ht="12.8" hidden="false" customHeight="false" outlineLevel="0" collapsed="false">
      <c r="B14" s="41"/>
      <c r="C14" s="41"/>
      <c r="D14" s="41"/>
      <c r="E14" s="41"/>
      <c r="F14" s="41"/>
      <c r="G14" s="41"/>
      <c r="H14" s="41"/>
      <c r="I14" s="41"/>
    </row>
    <row r="15" customFormat="false" ht="12.8" hidden="false" customHeight="false" outlineLevel="0" collapsed="false">
      <c r="B15" s="41"/>
      <c r="C15" s="41"/>
      <c r="D15" s="41"/>
      <c r="E15" s="41"/>
      <c r="F15" s="41"/>
      <c r="G15" s="41"/>
      <c r="H15" s="41"/>
      <c r="I15" s="41"/>
    </row>
    <row r="16" customFormat="false" ht="12.8" hidden="false" customHeight="false" outlineLevel="0" collapsed="false">
      <c r="B16" s="41"/>
      <c r="C16" s="41"/>
      <c r="D16" s="41"/>
      <c r="E16" s="41"/>
      <c r="F16" s="41"/>
      <c r="G16" s="41"/>
      <c r="H16" s="41"/>
      <c r="I16" s="41"/>
    </row>
  </sheetData>
  <autoFilter ref="A1:I6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7" activeCellId="0" sqref="B7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96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es-MX</dc:language>
  <cp:lastModifiedBy/>
  <dcterms:modified xsi:type="dcterms:W3CDTF">2024-07-24T15:22:12Z</dcterms:modified>
  <cp:revision>17</cp:revision>
  <dc:subject/>
  <dc:title/>
</cp:coreProperties>
</file>